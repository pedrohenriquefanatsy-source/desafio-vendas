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 de Caixa" sheetId="1" r:id="rId5"/>
    <sheet state="visible" name="Acompanhamento da Meta" sheetId="2" r:id="rId6"/>
    <sheet state="visible" name="Planilha de Vendas" sheetId="3" r:id="rId7"/>
    <sheet state="visible" name="Vendas " sheetId="4" r:id="rId8"/>
    <sheet state="visible" name="Estoque Atual " sheetId="5" r:id="rId9"/>
    <sheet state="visible" name="Custeio e Precificação" sheetId="6" r:id="rId10"/>
    <sheet state="visible" name="Indicadores " sheetId="7" r:id="rId11"/>
  </sheets>
  <definedNames/>
  <calcPr/>
</workbook>
</file>

<file path=xl/sharedStrings.xml><?xml version="1.0" encoding="utf-8"?>
<sst xmlns="http://schemas.openxmlformats.org/spreadsheetml/2006/main" count="1735" uniqueCount="435">
  <si>
    <t>Planilha Vendas</t>
  </si>
  <si>
    <t>Acompanhamento da Meta</t>
  </si>
  <si>
    <t xml:space="preserve">Data </t>
  </si>
  <si>
    <t>Cliente</t>
  </si>
  <si>
    <t>Quantidade Casadinhas</t>
  </si>
  <si>
    <t>Quantidade Classicos</t>
  </si>
  <si>
    <t>Quantidade Avelã</t>
  </si>
  <si>
    <t>Quantidade Piscininhas</t>
  </si>
  <si>
    <t>Quantidade Total</t>
  </si>
  <si>
    <t>Produziu?</t>
  </si>
  <si>
    <t>Faturamento Total</t>
  </si>
  <si>
    <t>Entregou?</t>
  </si>
  <si>
    <t>Despesas Totais</t>
  </si>
  <si>
    <t>Lançamento</t>
  </si>
  <si>
    <t>Lucro Bruto</t>
  </si>
  <si>
    <t>Luis Mario</t>
  </si>
  <si>
    <t>Descrição</t>
  </si>
  <si>
    <t>Categoria</t>
  </si>
  <si>
    <t>Valor (R$)</t>
  </si>
  <si>
    <t>Forma de Pagamento</t>
  </si>
  <si>
    <t xml:space="preserve">Quantidade </t>
  </si>
  <si>
    <t>1 piscina</t>
  </si>
  <si>
    <t>Gabriel</t>
  </si>
  <si>
    <t>Entrada</t>
  </si>
  <si>
    <t>Pix</t>
  </si>
  <si>
    <t>Rodrigo</t>
  </si>
  <si>
    <t>Alexandre</t>
  </si>
  <si>
    <t>Gustavo</t>
  </si>
  <si>
    <t>Joao</t>
  </si>
  <si>
    <t>Victor</t>
  </si>
  <si>
    <t xml:space="preserve">Pedro </t>
  </si>
  <si>
    <t>Paulo</t>
  </si>
  <si>
    <t>Maria</t>
  </si>
  <si>
    <t>Paula</t>
  </si>
  <si>
    <t>Manoela</t>
  </si>
  <si>
    <t>Quantidade Classicas</t>
  </si>
  <si>
    <t>Nara</t>
  </si>
  <si>
    <t>Bruno</t>
  </si>
  <si>
    <t>Ana</t>
  </si>
  <si>
    <t>Valentina</t>
  </si>
  <si>
    <t>Livia</t>
  </si>
  <si>
    <t>Yasmin</t>
  </si>
  <si>
    <t xml:space="preserve">Julia </t>
  </si>
  <si>
    <t>Doação</t>
  </si>
  <si>
    <t>1 nutella</t>
  </si>
  <si>
    <t>1 piscina e 1 combinado</t>
  </si>
  <si>
    <t>Nicole</t>
  </si>
  <si>
    <t>1 classico</t>
  </si>
  <si>
    <t>Bruna</t>
  </si>
  <si>
    <t>3 combinados</t>
  </si>
  <si>
    <t>Mariana</t>
  </si>
  <si>
    <t xml:space="preserve">Segunda Feira </t>
  </si>
  <si>
    <t>5 piscina</t>
  </si>
  <si>
    <t>Isadora</t>
  </si>
  <si>
    <t>1 combinado</t>
  </si>
  <si>
    <t xml:space="preserve">Talita </t>
  </si>
  <si>
    <t>Myrna</t>
  </si>
  <si>
    <t>Renata</t>
  </si>
  <si>
    <t>Terça Feira</t>
  </si>
  <si>
    <t>Julio</t>
  </si>
  <si>
    <t>2 combinados</t>
  </si>
  <si>
    <t>João Alecrim</t>
  </si>
  <si>
    <t>João</t>
  </si>
  <si>
    <t>uber</t>
  </si>
  <si>
    <t xml:space="preserve">Saida </t>
  </si>
  <si>
    <t>Fernando</t>
  </si>
  <si>
    <t>Quarta Feira</t>
  </si>
  <si>
    <t>1 piscina e 1 classico</t>
  </si>
  <si>
    <t>Ronise</t>
  </si>
  <si>
    <t>Alan</t>
  </si>
  <si>
    <t>Guilherme</t>
  </si>
  <si>
    <t>Quinta Feira</t>
  </si>
  <si>
    <t>Nelson</t>
  </si>
  <si>
    <t>completar</t>
  </si>
  <si>
    <t>2 piscina</t>
  </si>
  <si>
    <t>Wagner</t>
  </si>
  <si>
    <t>1 combinado e 1 piscina</t>
  </si>
  <si>
    <t>Gina</t>
  </si>
  <si>
    <t>Carla</t>
  </si>
  <si>
    <t>Marcos</t>
  </si>
  <si>
    <t>Reno</t>
  </si>
  <si>
    <t>Sexta Feira</t>
  </si>
  <si>
    <t>Henrique</t>
  </si>
  <si>
    <t>Ruben</t>
  </si>
  <si>
    <t xml:space="preserve">5 piscinas </t>
  </si>
  <si>
    <t>insumo</t>
  </si>
  <si>
    <t>Marilia</t>
  </si>
  <si>
    <t>Isabel</t>
  </si>
  <si>
    <t>10 classicos</t>
  </si>
  <si>
    <t>Sabado</t>
  </si>
  <si>
    <t xml:space="preserve">Marinho </t>
  </si>
  <si>
    <t>1 bolinho de Nutella e 1 piscina</t>
  </si>
  <si>
    <t>10 combinados</t>
  </si>
  <si>
    <t>5 classico</t>
  </si>
  <si>
    <t xml:space="preserve">João </t>
  </si>
  <si>
    <t>Domingo</t>
  </si>
  <si>
    <t>Thiago</t>
  </si>
  <si>
    <t>Marcelo</t>
  </si>
  <si>
    <t>Brick</t>
  </si>
  <si>
    <t>Diana</t>
  </si>
  <si>
    <t>Segunda</t>
  </si>
  <si>
    <t>Iuri</t>
  </si>
  <si>
    <t>3 combinado, 1 Nutella e 1 clássico</t>
  </si>
  <si>
    <t>Rebeca</t>
  </si>
  <si>
    <t>Lucas</t>
  </si>
  <si>
    <t>Estoque Atual</t>
  </si>
  <si>
    <t>João Maria</t>
  </si>
  <si>
    <t>Compras</t>
  </si>
  <si>
    <t>Gasto por Dia (12)</t>
  </si>
  <si>
    <t>Estoque Ideal</t>
  </si>
  <si>
    <t>2 combinado</t>
  </si>
  <si>
    <t>Gasto por Fornada</t>
  </si>
  <si>
    <t>Luna</t>
  </si>
  <si>
    <t>Itens</t>
  </si>
  <si>
    <t>Quantidade</t>
  </si>
  <si>
    <t>Preço Unitario</t>
  </si>
  <si>
    <t>Antonio</t>
  </si>
  <si>
    <t xml:space="preserve">Valor Final </t>
  </si>
  <si>
    <t>Óleo(und)</t>
  </si>
  <si>
    <t>Yago</t>
  </si>
  <si>
    <t>Manoel</t>
  </si>
  <si>
    <t>Açúcar(kg)</t>
  </si>
  <si>
    <t>3 nutella</t>
  </si>
  <si>
    <t xml:space="preserve">Liliane </t>
  </si>
  <si>
    <t>20 classicos e 5 combinado</t>
  </si>
  <si>
    <t>Farinha(kg)</t>
  </si>
  <si>
    <t>Mario</t>
  </si>
  <si>
    <t>Chocolate(g)</t>
  </si>
  <si>
    <t>Ovos(und)</t>
  </si>
  <si>
    <t>Creme de Leite(cx)</t>
  </si>
  <si>
    <t xml:space="preserve">1 nutella </t>
  </si>
  <si>
    <t>Leite Condensado(cx)</t>
  </si>
  <si>
    <t>CSA</t>
  </si>
  <si>
    <t>Margarina (kg)</t>
  </si>
  <si>
    <t>Aline</t>
  </si>
  <si>
    <t>Cenoura (kg)</t>
  </si>
  <si>
    <t>Iliane</t>
  </si>
  <si>
    <t>Creme de Avelã(kg)</t>
  </si>
  <si>
    <t>Kaliane</t>
  </si>
  <si>
    <t>Adesivos (und)</t>
  </si>
  <si>
    <t>Hugo</t>
  </si>
  <si>
    <t>Potinhos Plastico(und)</t>
  </si>
  <si>
    <t>1 combo e 1 piscina</t>
  </si>
  <si>
    <t>1 clássico e 1 piscina</t>
  </si>
  <si>
    <t>Depende da demanda</t>
  </si>
  <si>
    <t>depende da demanda</t>
  </si>
  <si>
    <t>Depende da Demanda</t>
  </si>
  <si>
    <t>Papel embalagem(und)</t>
  </si>
  <si>
    <t xml:space="preserve"> 1 combinado, 2 piscininhas e 1 clássico</t>
  </si>
  <si>
    <t>Leticia</t>
  </si>
  <si>
    <t>Iolanda</t>
  </si>
  <si>
    <t>50 classicos</t>
  </si>
  <si>
    <t>Eduardo</t>
  </si>
  <si>
    <t xml:space="preserve">2 piscina e 1 classico </t>
  </si>
  <si>
    <t>Renan</t>
  </si>
  <si>
    <t>Eloah</t>
  </si>
  <si>
    <t>Julia</t>
  </si>
  <si>
    <t>Vitor</t>
  </si>
  <si>
    <t xml:space="preserve">Bruna </t>
  </si>
  <si>
    <t>Beach Tenis</t>
  </si>
  <si>
    <t>Juliana</t>
  </si>
  <si>
    <t>Natalia</t>
  </si>
  <si>
    <t>Gabi</t>
  </si>
  <si>
    <t>1 combinado e 1 nutella</t>
  </si>
  <si>
    <t xml:space="preserve">Andre </t>
  </si>
  <si>
    <t xml:space="preserve">Ana </t>
  </si>
  <si>
    <t>Milana</t>
  </si>
  <si>
    <t>Rosemere</t>
  </si>
  <si>
    <t>3 combinados e 1 piscina</t>
  </si>
  <si>
    <t>Arthur</t>
  </si>
  <si>
    <t xml:space="preserve"> 1 combinado e 1 Nutella.</t>
  </si>
  <si>
    <t>Karolina</t>
  </si>
  <si>
    <t>Insumo</t>
  </si>
  <si>
    <t xml:space="preserve"> 2 combos e 2 piscina</t>
  </si>
  <si>
    <t xml:space="preserve">Daniela </t>
  </si>
  <si>
    <t>2 piscina e 2 combinado</t>
  </si>
  <si>
    <t>Camylla</t>
  </si>
  <si>
    <t>2 combinados e 2 piscina</t>
  </si>
  <si>
    <t>Botelho</t>
  </si>
  <si>
    <t xml:space="preserve"> 4 combos</t>
  </si>
  <si>
    <t>5 combinado, 2 piscina e 1 clássico</t>
  </si>
  <si>
    <t>Rhuan</t>
  </si>
  <si>
    <t>Zeze</t>
  </si>
  <si>
    <t>Beach Tennis</t>
  </si>
  <si>
    <t>10 clássico</t>
  </si>
  <si>
    <t>2 nutella</t>
  </si>
  <si>
    <t>Henderson</t>
  </si>
  <si>
    <t>Lidiane</t>
  </si>
  <si>
    <t>Alysson</t>
  </si>
  <si>
    <t>2 combinado e 2 piscina</t>
  </si>
  <si>
    <t>Claudia</t>
  </si>
  <si>
    <t>Ronaldo</t>
  </si>
  <si>
    <t>Isnara</t>
  </si>
  <si>
    <t>Rayane</t>
  </si>
  <si>
    <t>1 clássico</t>
  </si>
  <si>
    <t>2 combinado, 1 piscina e 1 clássico.</t>
  </si>
  <si>
    <t>Vinicius</t>
  </si>
  <si>
    <t>completar valor</t>
  </si>
  <si>
    <t>3 clássico</t>
  </si>
  <si>
    <t>Alline</t>
  </si>
  <si>
    <t xml:space="preserve">Namara </t>
  </si>
  <si>
    <t>Henri</t>
  </si>
  <si>
    <t>Iuriel</t>
  </si>
  <si>
    <t xml:space="preserve">Henri </t>
  </si>
  <si>
    <t>Farm</t>
  </si>
  <si>
    <t>Fabiana</t>
  </si>
  <si>
    <t>Luciana</t>
  </si>
  <si>
    <t>Preço Bolo de Cenoura com cobertura de Chocolate</t>
  </si>
  <si>
    <t>Denis</t>
  </si>
  <si>
    <t>Preço Bolo de Cenoura com cobertura de Nutella</t>
  </si>
  <si>
    <t>Namara</t>
  </si>
  <si>
    <t>Preço Piscininha de Chocolate</t>
  </si>
  <si>
    <t xml:space="preserve"> Preço Piscininha de Nutella</t>
  </si>
  <si>
    <t xml:space="preserve"> Preço Casadinho</t>
  </si>
  <si>
    <t>Pedro</t>
  </si>
  <si>
    <t>Ovos</t>
  </si>
  <si>
    <t xml:space="preserve">1 piscina </t>
  </si>
  <si>
    <t>1 piscina e clássico</t>
  </si>
  <si>
    <t>Larissa</t>
  </si>
  <si>
    <t>R$ 0,13</t>
  </si>
  <si>
    <t>1 piscina e nutella</t>
  </si>
  <si>
    <t>Iliana</t>
  </si>
  <si>
    <t>Pietra</t>
  </si>
  <si>
    <t>Matheus</t>
  </si>
  <si>
    <t>R$ 0,26</t>
  </si>
  <si>
    <t>1 combinado, 1 clássico, 1 nutella</t>
  </si>
  <si>
    <t>Óleo</t>
  </si>
  <si>
    <t>Brendo</t>
  </si>
  <si>
    <t>Samuel</t>
  </si>
  <si>
    <t>R$ 0,12</t>
  </si>
  <si>
    <t>Dayany</t>
  </si>
  <si>
    <t>R$ 0,24</t>
  </si>
  <si>
    <t>Açucar</t>
  </si>
  <si>
    <t>R$ 0,11</t>
  </si>
  <si>
    <t>4 combinado, 1 piscina e 1 Nutella.</t>
  </si>
  <si>
    <t>Rafael</t>
  </si>
  <si>
    <t>R$ 0,22</t>
  </si>
  <si>
    <t>Farinha</t>
  </si>
  <si>
    <t>R$ 0,1</t>
  </si>
  <si>
    <t>Insumos</t>
  </si>
  <si>
    <t>2 combinados, 1 nutella, 2 clássicos</t>
  </si>
  <si>
    <t>R$ 0,2</t>
  </si>
  <si>
    <t xml:space="preserve"> Cenoura</t>
  </si>
  <si>
    <t>R$ 0,14</t>
  </si>
  <si>
    <t>5 combinados</t>
  </si>
  <si>
    <t>R$ 0,28</t>
  </si>
  <si>
    <t>Chocolate em pó</t>
  </si>
  <si>
    <t>Hysaac</t>
  </si>
  <si>
    <t>Nutella</t>
  </si>
  <si>
    <t>Melissa</t>
  </si>
  <si>
    <t>R$ 1,64</t>
  </si>
  <si>
    <t>2 combos, 1 piscina, 1 bolinho de nutella e 2 classicos</t>
  </si>
  <si>
    <t>Clássicos</t>
  </si>
  <si>
    <t>Creme de Leite</t>
  </si>
  <si>
    <t>R$ 0,17</t>
  </si>
  <si>
    <t>Embalagem</t>
  </si>
  <si>
    <t xml:space="preserve">Gabriel </t>
  </si>
  <si>
    <t>13 bolinhos</t>
  </si>
  <si>
    <t>Leite Condensado</t>
  </si>
  <si>
    <t>R$ 0,46</t>
  </si>
  <si>
    <t>Custo Total</t>
  </si>
  <si>
    <t>Viviane</t>
  </si>
  <si>
    <t>R$ 2,32</t>
  </si>
  <si>
    <t>16 bolinhos</t>
  </si>
  <si>
    <t>Andre</t>
  </si>
  <si>
    <t>3 piscina</t>
  </si>
  <si>
    <t>Margarina</t>
  </si>
  <si>
    <t>R$ 0,02</t>
  </si>
  <si>
    <t>Clássico</t>
  </si>
  <si>
    <t>Margem de Lucro</t>
  </si>
  <si>
    <t>combinado</t>
  </si>
  <si>
    <t>Annie</t>
  </si>
  <si>
    <t>Preço Final</t>
  </si>
  <si>
    <t>Daniela</t>
  </si>
  <si>
    <t>R$ 7,50</t>
  </si>
  <si>
    <t>Talita</t>
  </si>
  <si>
    <t>R$ 1,45</t>
  </si>
  <si>
    <t>nutella</t>
  </si>
  <si>
    <t>Rafaela</t>
  </si>
  <si>
    <t>clássico</t>
  </si>
  <si>
    <t>Jeesiel</t>
  </si>
  <si>
    <t>Combinado</t>
  </si>
  <si>
    <t>R$ 6,50</t>
  </si>
  <si>
    <t>Telma</t>
  </si>
  <si>
    <t>Carlos</t>
  </si>
  <si>
    <t>Natan</t>
  </si>
  <si>
    <t>Paschoal</t>
  </si>
  <si>
    <t>Clarice</t>
  </si>
  <si>
    <t xml:space="preserve">Maria </t>
  </si>
  <si>
    <t>Tatiane</t>
  </si>
  <si>
    <t>piscina</t>
  </si>
  <si>
    <t>Liu</t>
  </si>
  <si>
    <t>Kivia</t>
  </si>
  <si>
    <t>Thales</t>
  </si>
  <si>
    <t>Raphael</t>
  </si>
  <si>
    <t>MARKUP CASADINHA</t>
  </si>
  <si>
    <t>MARKUP CLÁSSICO</t>
  </si>
  <si>
    <t>Combinado  + piscina</t>
  </si>
  <si>
    <t>Vanessa</t>
  </si>
  <si>
    <t>MARKUP NUTELLA</t>
  </si>
  <si>
    <t>10 clássicos</t>
  </si>
  <si>
    <t>MARKUP PISCININHA DE NUTELLA</t>
  </si>
  <si>
    <t>Luma</t>
  </si>
  <si>
    <t>MARKUP PISCININHA DE BRIGADEIRO</t>
  </si>
  <si>
    <t>Custo Unitário</t>
  </si>
  <si>
    <t>Preço de Venda</t>
  </si>
  <si>
    <t>Markup</t>
  </si>
  <si>
    <t>Debora</t>
  </si>
  <si>
    <t>Yuri</t>
  </si>
  <si>
    <t>Ilka</t>
  </si>
  <si>
    <t>2  combinados 3 piscinas</t>
  </si>
  <si>
    <t>Jose</t>
  </si>
  <si>
    <t>Elizana</t>
  </si>
  <si>
    <t>4 clássicos</t>
  </si>
  <si>
    <t>Piscina</t>
  </si>
  <si>
    <t>Iranilda</t>
  </si>
  <si>
    <t>Combinado + piscina</t>
  </si>
  <si>
    <t>Sofia</t>
  </si>
  <si>
    <t>MARGEM DE CONTRIBUIÇÂO CASADINHA</t>
  </si>
  <si>
    <t>Monalisa</t>
  </si>
  <si>
    <t>5 piscinas</t>
  </si>
  <si>
    <t>MARGEM DE CONTRIBUIÇÂO CLÁSSICO</t>
  </si>
  <si>
    <t xml:space="preserve">Troco compras Pedro </t>
  </si>
  <si>
    <t>MARGEM DE CONTRIBUIÇÂO NUTELLA</t>
  </si>
  <si>
    <t>Classico + piscina</t>
  </si>
  <si>
    <t>MARGEM DE CONTRIBUIÇÂO PISCININHA DE NUTELLA</t>
  </si>
  <si>
    <t xml:space="preserve">Jose </t>
  </si>
  <si>
    <t>MARGEM DE CONTRIBUIÇÂO PISCININHA DE BRIGADEIRO</t>
  </si>
  <si>
    <t>Custo</t>
  </si>
  <si>
    <t>MC</t>
  </si>
  <si>
    <t>Pagamento Adesivos</t>
  </si>
  <si>
    <t xml:space="preserve">Carlos </t>
  </si>
  <si>
    <t>4 piscinas</t>
  </si>
  <si>
    <t>5 bolinhos</t>
  </si>
  <si>
    <t>combinado + piscina</t>
  </si>
  <si>
    <t>2 clássicos</t>
  </si>
  <si>
    <t>2 clássicos + piscina</t>
  </si>
  <si>
    <t>Luisa</t>
  </si>
  <si>
    <t>Heitor</t>
  </si>
  <si>
    <t>4 piscina</t>
  </si>
  <si>
    <t>LUCRATIVIDADE</t>
  </si>
  <si>
    <t>Produto</t>
  </si>
  <si>
    <t>Lucro Unitário</t>
  </si>
  <si>
    <t>Lucro Total</t>
  </si>
  <si>
    <t>Lucratividade</t>
  </si>
  <si>
    <t>Rafa</t>
  </si>
  <si>
    <t>Casadinha</t>
  </si>
  <si>
    <t>Combos</t>
  </si>
  <si>
    <t>Compras Atacadão</t>
  </si>
  <si>
    <t>Gabriela</t>
  </si>
  <si>
    <t>Ana Luiza</t>
  </si>
  <si>
    <t>Vendas Pedro</t>
  </si>
  <si>
    <t>Dinheiro pedro compras</t>
  </si>
  <si>
    <t>Laura</t>
  </si>
  <si>
    <t>Jamile</t>
  </si>
  <si>
    <t>Vendas UFRN</t>
  </si>
  <si>
    <t>Patricia</t>
  </si>
  <si>
    <t>Piscininhas</t>
  </si>
  <si>
    <t>Liliane</t>
  </si>
  <si>
    <t>2 Piscina</t>
  </si>
  <si>
    <t>ROI</t>
  </si>
  <si>
    <t>Kaline</t>
  </si>
  <si>
    <t>Promoção</t>
  </si>
  <si>
    <t>nutella promoção</t>
  </si>
  <si>
    <t>Clássico promoção</t>
  </si>
  <si>
    <t>Roberta</t>
  </si>
  <si>
    <t xml:space="preserve">Roberta </t>
  </si>
  <si>
    <t xml:space="preserve">Gabi </t>
  </si>
  <si>
    <t>Promoção com piscina</t>
  </si>
  <si>
    <t>Stella</t>
  </si>
  <si>
    <t>atacadão</t>
  </si>
  <si>
    <t>extorno para valor certo</t>
  </si>
  <si>
    <t>Marina</t>
  </si>
  <si>
    <t>combinado(valor errado</t>
  </si>
  <si>
    <t>Christian</t>
  </si>
  <si>
    <t>100 clássicos</t>
  </si>
  <si>
    <t>Selma</t>
  </si>
  <si>
    <t>Reembolso Gabriel</t>
  </si>
  <si>
    <t>Reembolso Victor</t>
  </si>
  <si>
    <t>Luiz</t>
  </si>
  <si>
    <t>3 Clássico</t>
  </si>
  <si>
    <t>Lorena</t>
  </si>
  <si>
    <t xml:space="preserve"> Clássico</t>
  </si>
  <si>
    <t>5 Clássico</t>
  </si>
  <si>
    <t>2 Nutella</t>
  </si>
  <si>
    <t>Ennrico</t>
  </si>
  <si>
    <t>Felipe</t>
  </si>
  <si>
    <t>3 combinado</t>
  </si>
  <si>
    <t>Compra Nordestão</t>
  </si>
  <si>
    <t>2 combinado + 2 clássicos</t>
  </si>
  <si>
    <t>Luiza</t>
  </si>
  <si>
    <t>4 combinado</t>
  </si>
  <si>
    <t>Igor</t>
  </si>
  <si>
    <t>2 Combinado + 2 nutella</t>
  </si>
  <si>
    <t xml:space="preserve">Luiz </t>
  </si>
  <si>
    <t>Barbara</t>
  </si>
  <si>
    <t>Wilton</t>
  </si>
  <si>
    <t>Investimento Produtiva</t>
  </si>
  <si>
    <t>Luiz Felipe</t>
  </si>
  <si>
    <t>Thalita</t>
  </si>
  <si>
    <t>Pinheiro</t>
  </si>
  <si>
    <t>Abelardo</t>
  </si>
  <si>
    <t>Breno</t>
  </si>
  <si>
    <t>Wendel</t>
  </si>
  <si>
    <t>Bernardo</t>
  </si>
  <si>
    <t>Hiana</t>
  </si>
  <si>
    <t>Mateus</t>
  </si>
  <si>
    <t>Luigi</t>
  </si>
  <si>
    <t>Gabi Palma</t>
  </si>
  <si>
    <t>Fredson</t>
  </si>
  <si>
    <t>Enrico</t>
  </si>
  <si>
    <t>Lucila</t>
  </si>
  <si>
    <t>Arthiel</t>
  </si>
  <si>
    <t>Manuela</t>
  </si>
  <si>
    <t>Monica</t>
  </si>
  <si>
    <t>Roberto</t>
  </si>
  <si>
    <t>Fabio</t>
  </si>
  <si>
    <t xml:space="preserve">Patricia </t>
  </si>
  <si>
    <t xml:space="preserve">Lara </t>
  </si>
  <si>
    <t>Edinor</t>
  </si>
  <si>
    <t xml:space="preserve">Maria Luiza </t>
  </si>
  <si>
    <t>Brendha</t>
  </si>
  <si>
    <t>Luiz Eduardo</t>
  </si>
  <si>
    <t>Priscila</t>
  </si>
  <si>
    <t>Ana Livian</t>
  </si>
  <si>
    <t>Analice</t>
  </si>
  <si>
    <t>Maria Conceição</t>
  </si>
  <si>
    <t>Ana Cristina</t>
  </si>
  <si>
    <t>Danilo</t>
  </si>
  <si>
    <t>Beatriz</t>
  </si>
  <si>
    <t xml:space="preserve">Maria Clara </t>
  </si>
  <si>
    <t>Caio</t>
  </si>
  <si>
    <t xml:space="preserve">Nicole </t>
  </si>
  <si>
    <t>Rosana</t>
  </si>
  <si>
    <t>Stephanie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</si>
</sst>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;(#,##0.00)"/>
    <numFmt numFmtId="166" formatCode="[$R$ -416]#,##0.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color rgb="FFB45F06"/>
      <name val="Arial"/>
      <scheme val="minor"/>
    </font>
    <font>
      <b/>
      <sz val="15.0"/>
      <color rgb="FF3E2117"/>
      <name val="Montserrat"/>
    </font>
    <font/>
    <font>
      <color theme="1"/>
      <name val="Arial"/>
    </font>
    <font>
      <b/>
      <sz val="18.0"/>
      <color rgb="FF3E2117"/>
      <name val="Montserrat"/>
    </font>
    <font>
      <b/>
      <sz val="12.0"/>
      <color rgb="FF3E2117"/>
      <name val="Montserrat"/>
    </font>
    <font>
      <sz val="12.0"/>
      <color theme="1"/>
      <name val="Montserrat"/>
    </font>
    <font>
      <sz val="15.0"/>
      <color theme="1"/>
      <name val="Montserrat"/>
    </font>
    <font>
      <sz val="11.0"/>
      <color theme="1"/>
      <name val="Arial"/>
    </font>
    <font>
      <color theme="1"/>
      <name val="Montserrat"/>
    </font>
    <font>
      <sz val="12.0"/>
      <color theme="1"/>
      <name val="Arial"/>
    </font>
    <font>
      <sz val="11.0"/>
      <color theme="1"/>
      <name val="Montserrat"/>
    </font>
    <font>
      <b/>
      <color theme="1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783F04"/>
        <bgColor rgb="FF783F04"/>
      </patternFill>
    </fill>
    <fill>
      <patternFill patternType="solid">
        <fgColor rgb="FFFF914D"/>
        <bgColor rgb="FFFF914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ill="1" applyFont="1"/>
    <xf borderId="1" fillId="3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4" fillId="3" fontId="6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6" fillId="3" fontId="7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6" fillId="3" fontId="7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bottom"/>
    </xf>
    <xf borderId="1" fillId="3" fontId="6" numFmtId="0" xfId="0" applyAlignment="1" applyBorder="1" applyFill="1" applyFont="1">
      <alignment horizontal="center" readingOrder="0" vertical="center"/>
    </xf>
    <xf borderId="6" fillId="0" fontId="8" numFmtId="164" xfId="0" applyAlignment="1" applyBorder="1" applyFont="1" applyNumberFormat="1">
      <alignment horizontal="center" readingOrder="0" vertical="bottom"/>
    </xf>
    <xf borderId="0" fillId="2" fontId="6" numFmtId="0" xfId="0" applyAlignment="1" applyFill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bottom"/>
    </xf>
    <xf borderId="0" fillId="4" fontId="9" numFmtId="0" xfId="0" applyAlignment="1" applyFill="1" applyFont="1">
      <alignment horizontal="center" readingOrder="0"/>
    </xf>
    <xf borderId="6" fillId="5" fontId="5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readingOrder="0"/>
    </xf>
    <xf borderId="6" fillId="5" fontId="8" numFmtId="0" xfId="0" applyAlignment="1" applyBorder="1" applyFill="1" applyFont="1">
      <alignment horizontal="center" vertical="bottom"/>
    </xf>
    <xf borderId="6" fillId="5" fontId="5" numFmtId="0" xfId="0" applyAlignment="1" applyBorder="1" applyFill="1" applyFont="1">
      <alignment vertical="bottom"/>
    </xf>
    <xf borderId="6" fillId="0" fontId="10" numFmtId="0" xfId="0" applyAlignment="1" applyBorder="1" applyFont="1">
      <alignment horizontal="center" readingOrder="0" vertical="bottom"/>
    </xf>
    <xf borderId="0" fillId="4" fontId="1" numFmtId="0" xfId="0" applyFill="1" applyFont="1"/>
    <xf borderId="6" fillId="6" fontId="11" numFmtId="165" xfId="0" applyAlignment="1" applyBorder="1" applyFill="1" applyFont="1" applyNumberFormat="1">
      <alignment horizontal="center" readingOrder="0" vertical="center"/>
    </xf>
    <xf borderId="0" fillId="2" fontId="7" numFmtId="0" xfId="0" applyAlignment="1" applyFill="1" applyFont="1">
      <alignment horizontal="center" readingOrder="0" vertical="center"/>
    </xf>
    <xf borderId="0" fillId="4" fontId="7" numFmtId="0" xfId="0" applyAlignment="1" applyFill="1" applyFont="1">
      <alignment horizontal="center" readingOrder="0" vertical="center"/>
    </xf>
    <xf borderId="0" fillId="0" fontId="8" numFmtId="0" xfId="0" applyAlignment="1" applyFont="1">
      <alignment readingOrder="0"/>
    </xf>
    <xf borderId="6" fillId="0" fontId="8" numFmtId="0" xfId="0" applyAlignment="1" applyBorder="1" applyFont="1">
      <alignment horizontal="center" vertical="bottom"/>
    </xf>
    <xf borderId="9" fillId="0" fontId="5" numFmtId="164" xfId="0" applyAlignment="1" applyBorder="1" applyFont="1" applyNumberFormat="1">
      <alignment readingOrder="0"/>
    </xf>
    <xf borderId="6" fillId="0" fontId="12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6" fillId="5" fontId="10" numFmtId="0" xfId="0" applyAlignment="1" applyBorder="1" applyFill="1" applyFont="1">
      <alignment horizontal="center" readingOrder="0" vertical="bottom"/>
    </xf>
    <xf borderId="6" fillId="7" fontId="11" numFmtId="0" xfId="0" applyAlignment="1" applyBorder="1" applyFill="1" applyFont="1">
      <alignment horizontal="center" readingOrder="0" vertical="center"/>
    </xf>
    <xf borderId="6" fillId="0" fontId="1" numFmtId="165" xfId="0" applyAlignment="1" applyBorder="1" applyFont="1" applyNumberFormat="1">
      <alignment horizontal="center" readingOrder="0"/>
    </xf>
    <xf borderId="6" fillId="0" fontId="8" numFmtId="164" xfId="0" applyAlignment="1" applyBorder="1" applyFont="1" applyNumberFormat="1">
      <alignment horizontal="center" vertical="bottom"/>
    </xf>
    <xf borderId="6" fillId="0" fontId="11" numFmtId="0" xfId="0" applyAlignment="1" applyBorder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6" fillId="0" fontId="5" numFmtId="0" xfId="0" applyAlignment="1" applyBorder="1" applyFont="1">
      <alignment horizontal="center" vertical="bottom"/>
    </xf>
    <xf borderId="0" fillId="2" fontId="1" numFmtId="165" xfId="0" applyAlignment="1" applyFill="1" applyFont="1" applyNumberForma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5" fillId="2" fontId="5" numFmtId="164" xfId="0" applyBorder="1" applyFill="1" applyFont="1" applyNumberFormat="1"/>
    <xf borderId="10" fillId="2" fontId="1" numFmtId="0" xfId="0" applyBorder="1" applyFill="1" applyFont="1"/>
    <xf borderId="0" fillId="2" fontId="5" numFmtId="164" xfId="0" applyFill="1" applyFont="1" applyNumberFormat="1"/>
    <xf borderId="6" fillId="6" fontId="5" numFmtId="164" xfId="0" applyAlignment="1" applyBorder="1" applyFill="1" applyFont="1" applyNumberFormat="1">
      <alignment readingOrder="0"/>
    </xf>
    <xf borderId="4" fillId="3" fontId="6" numFmtId="0" xfId="0" applyAlignment="1" applyBorder="1" applyFill="1" applyFont="1">
      <alignment horizontal="center"/>
    </xf>
    <xf borderId="6" fillId="3" fontId="7" numFmtId="0" xfId="0" applyAlignment="1" applyBorder="1" applyFill="1" applyFont="1">
      <alignment horizontal="center"/>
    </xf>
    <xf borderId="0" fillId="0" fontId="5" numFmtId="0" xfId="0" applyAlignment="1" applyFont="1">
      <alignment vertical="center"/>
    </xf>
    <xf borderId="6" fillId="6" fontId="1" numFmtId="0" xfId="0" applyAlignment="1" applyBorder="1" applyFill="1" applyFont="1">
      <alignment horizontal="center" readingOrder="0"/>
    </xf>
    <xf borderId="6" fillId="6" fontId="1" numFmtId="165" xfId="0" applyAlignment="1" applyBorder="1" applyFill="1" applyFont="1" applyNumberFormat="1">
      <alignment horizontal="center" readingOrder="0"/>
    </xf>
    <xf borderId="10" fillId="0" fontId="4" numFmtId="0" xfId="0" applyBorder="1" applyFont="1"/>
    <xf borderId="0" fillId="2" fontId="1" numFmtId="164" xfId="0" applyAlignment="1" applyFill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6" fillId="5" fontId="11" numFmtId="0" xfId="0" applyAlignment="1" applyBorder="1" applyFill="1" applyFont="1">
      <alignment horizontal="center" vertical="center"/>
    </xf>
    <xf borderId="6" fillId="0" fontId="8" numFmtId="164" xfId="0" applyAlignment="1" applyBorder="1" applyFont="1" applyNumberFormat="1">
      <alignment horizontal="center"/>
    </xf>
    <xf borderId="6" fillId="0" fontId="8" numFmtId="0" xfId="0" applyAlignment="1" applyBorder="1" applyFont="1">
      <alignment horizontal="center"/>
    </xf>
    <xf borderId="6" fillId="5" fontId="5" numFmtId="0" xfId="0" applyAlignment="1" applyBorder="1" applyFill="1" applyFont="1">
      <alignment horizontal="center"/>
    </xf>
    <xf borderId="6" fillId="5" fontId="8" numFmtId="0" xfId="0" applyAlignment="1" applyBorder="1" applyFill="1" applyFont="1">
      <alignment horizontal="center"/>
    </xf>
    <xf borderId="6" fillId="5" fontId="5" numFmtId="0" xfId="0" applyBorder="1" applyFill="1" applyFont="1"/>
    <xf borderId="6" fillId="0" fontId="5" numFmtId="0" xfId="0" applyAlignment="1" applyBorder="1" applyFont="1">
      <alignment horizontal="center"/>
    </xf>
    <xf borderId="6" fillId="0" fontId="1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6" fillId="5" fontId="11" numFmtId="0" xfId="0" applyAlignment="1" applyBorder="1" applyFill="1" applyFont="1">
      <alignment horizontal="center" readingOrder="0" vertical="center"/>
    </xf>
    <xf borderId="6" fillId="0" fontId="13" numFmtId="0" xfId="0" applyAlignment="1" applyBorder="1" applyFont="1">
      <alignment horizontal="center" vertical="center"/>
    </xf>
    <xf borderId="6" fillId="5" fontId="13" numFmtId="0" xfId="0" applyAlignment="1" applyBorder="1" applyFill="1" applyFont="1">
      <alignment horizontal="center" readingOrder="0"/>
    </xf>
    <xf borderId="6" fillId="5" fontId="13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0" fillId="2" fontId="1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 vertical="center"/>
    </xf>
    <xf borderId="6" fillId="5" fontId="8" numFmtId="0" xfId="0" applyAlignment="1" applyBorder="1" applyFill="1" applyFont="1">
      <alignment horizontal="center" readingOrder="0"/>
    </xf>
    <xf borderId="6" fillId="4" fontId="7" numFmtId="0" xfId="0" applyAlignment="1" applyBorder="1" applyFill="1" applyFont="1">
      <alignment horizontal="center" readingOrder="0" vertical="center"/>
    </xf>
    <xf borderId="6" fillId="4" fontId="7" numFmtId="4" xfId="0" applyAlignment="1" applyBorder="1" applyFill="1" applyFont="1" applyNumberFormat="1">
      <alignment horizontal="center" readingOrder="0" vertical="center"/>
    </xf>
    <xf borderId="6" fillId="4" fontId="7" numFmtId="166" xfId="0" applyAlignment="1" applyBorder="1" applyFill="1" applyFont="1" applyNumberFormat="1">
      <alignment horizontal="center" readingOrder="0" vertical="center"/>
    </xf>
    <xf borderId="6" fillId="0" fontId="11" numFmtId="0" xfId="0" applyBorder="1" applyFont="1"/>
    <xf borderId="1" fillId="0" fontId="8" numFmtId="0" xfId="0" applyAlignment="1" applyBorder="1" applyFont="1">
      <alignment horizontal="center" readingOrder="0"/>
    </xf>
    <xf borderId="6" fillId="0" fontId="8" numFmtId="165" xfId="0" applyAlignment="1" applyBorder="1" applyFont="1" applyNumberFormat="1">
      <alignment horizontal="center" readingOrder="0"/>
    </xf>
    <xf borderId="6" fillId="0" fontId="8" numFmtId="4" xfId="0" applyAlignment="1" applyBorder="1" applyFont="1" applyNumberFormat="1">
      <alignment horizontal="center" readingOrder="0"/>
    </xf>
    <xf borderId="6" fillId="0" fontId="8" numFmtId="0" xfId="0" applyAlignment="1" applyBorder="1" applyFont="1">
      <alignment horizontal="center" readingOrder="0"/>
    </xf>
    <xf borderId="6" fillId="0" fontId="8" numFmtId="166" xfId="0" applyAlignment="1" applyBorder="1" applyFont="1" applyNumberFormat="1">
      <alignment horizontal="center" readingOrder="0"/>
    </xf>
    <xf borderId="6" fillId="6" fontId="5" numFmtId="164" xfId="0" applyBorder="1" applyFill="1" applyFont="1" applyNumberFormat="1"/>
    <xf borderId="0" fillId="2" fontId="1" numFmtId="0" xfId="0" applyAlignment="1" applyFill="1" applyFont="1">
      <alignment horizontal="center" readingOrder="0"/>
    </xf>
    <xf borderId="6" fillId="0" fontId="8" numFmtId="10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6" fillId="6" fontId="1" numFmtId="164" xfId="0" applyAlignment="1" applyBorder="1" applyFill="1" applyFont="1" applyNumberFormat="1">
      <alignment horizontal="center" readingOrder="0"/>
    </xf>
    <xf borderId="0" fillId="4" fontId="14" numFmtId="0" xfId="0" applyAlignment="1" applyFill="1" applyFont="1">
      <alignment horizontal="center" readingOrder="0" vertical="center"/>
    </xf>
    <xf borderId="0" fillId="0" fontId="1" numFmtId="10" xfId="0" applyAlignment="1" applyFont="1" applyNumberFormat="1">
      <alignment horizontal="center" readingOrder="0"/>
    </xf>
    <xf borderId="1" fillId="3" fontId="14" numFmtId="0" xfId="0" applyAlignment="1" applyBorder="1" applyFill="1" applyFont="1">
      <alignment horizontal="center" readingOrder="0" vertical="center"/>
    </xf>
    <xf borderId="6" fillId="3" fontId="14" numFmtId="0" xfId="0" applyAlignment="1" applyBorder="1" applyFill="1" applyFont="1">
      <alignment horizontal="center" readingOrder="0" vertical="center"/>
    </xf>
    <xf borderId="2" fillId="3" fontId="14" numFmtId="0" xfId="0" applyAlignment="1" applyBorder="1" applyFill="1" applyFont="1">
      <alignment horizontal="center" readingOrder="0" vertical="center"/>
    </xf>
    <xf borderId="3" fillId="3" fontId="14" numFmtId="0" xfId="0" applyAlignment="1" applyBorder="1" applyFill="1" applyFont="1">
      <alignment horizontal="center" readingOrder="0" vertical="center"/>
    </xf>
    <xf borderId="6" fillId="0" fontId="1" numFmtId="4" xfId="0" applyAlignment="1" applyBorder="1" applyFont="1" applyNumberFormat="1">
      <alignment horizontal="center" readingOrder="0"/>
    </xf>
    <xf borderId="6" fillId="0" fontId="1" numFmtId="4" xfId="0" applyAlignment="1" applyBorder="1" applyFont="1" applyNumberFormat="1">
      <alignment horizontal="center"/>
    </xf>
    <xf borderId="6" fillId="0" fontId="1" numFmtId="166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center"/>
    </xf>
    <xf borderId="0" fillId="3" fontId="14" numFmtId="0" xfId="0" applyAlignment="1" applyFill="1" applyFont="1">
      <alignment horizontal="center" readingOrder="0" vertical="center"/>
    </xf>
    <xf borderId="6" fillId="4" fontId="14" numFmtId="0" xfId="0" applyAlignment="1" applyBorder="1" applyFill="1" applyFont="1">
      <alignment horizontal="center" readingOrder="0" vertical="center"/>
    </xf>
    <xf borderId="6" fillId="0" fontId="11" numFmtId="166" xfId="0" applyAlignment="1" applyBorder="1" applyFont="1" applyNumberFormat="1">
      <alignment horizontal="center" readingOrder="0"/>
    </xf>
    <xf borderId="6" fillId="0" fontId="11" numFmtId="0" xfId="0" applyAlignment="1" applyBorder="1" applyFont="1">
      <alignment horizontal="center" readingOrder="0"/>
    </xf>
    <xf borderId="6" fillId="0" fontId="11" numFmtId="166" xfId="0" applyAlignment="1" applyBorder="1" applyFont="1" applyNumberFormat="1">
      <alignment horizontal="center"/>
    </xf>
    <xf borderId="6" fillId="0" fontId="11" numFmtId="10" xfId="0" applyAlignment="1" applyBorder="1" applyFont="1" applyNumberFormat="1">
      <alignment horizontal="center"/>
    </xf>
    <xf borderId="6" fillId="0" fontId="11" numFmtId="0" xfId="0" applyAlignment="1" applyBorder="1" applyFont="1">
      <alignment horizontal="center"/>
    </xf>
    <xf borderId="0" fillId="0" fontId="11" numFmtId="166" xfId="0" applyAlignment="1" applyFont="1" applyNumberFormat="1">
      <alignment horizontal="center" readingOrder="0"/>
    </xf>
    <xf borderId="0" fillId="0" fontId="11" numFmtId="0" xfId="0" applyAlignment="1" applyFont="1">
      <alignment horizontal="center"/>
    </xf>
    <xf borderId="0" fillId="5" fontId="14" numFmtId="0" xfId="0" applyAlignment="1" applyFill="1" applyFont="1">
      <alignment horizontal="center" readingOrder="0" vertical="center"/>
    </xf>
    <xf borderId="1" fillId="0" fontId="1" numFmtId="10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readingOrder="0" vertical="center"/>
    </xf>
    <xf borderId="0" fillId="4" fontId="1" numFmtId="164" xfId="0" applyAlignment="1" applyFill="1" applyFont="1" applyNumberFormat="1">
      <alignment horizontal="center" readingOrder="0" vertical="center"/>
    </xf>
    <xf borderId="0" fillId="4" fontId="1" numFmtId="165" xfId="0" applyAlignment="1" applyFill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0</xdr:row>
      <xdr:rowOff>238125</xdr:rowOff>
    </xdr:from>
    <xdr:ext cx="3067050" cy="638175"/>
    <xdr:grpSp>
      <xdr:nvGrpSpPr>
        <xdr:cNvPr id="2" name="Shape 2" title="Desenho"/>
        <xdr:cNvGrpSpPr/>
      </xdr:nvGrpSpPr>
      <xdr:grpSpPr>
        <a:xfrm>
          <a:off x="1479550" y="1231250"/>
          <a:ext cx="3593400" cy="730800"/>
          <a:chOff x="1479550" y="1231250"/>
          <a:chExt cx="3593400" cy="730800"/>
        </a:xfrm>
      </xdr:grpSpPr>
      <xdr:sp>
        <xdr:nvSpPr>
          <xdr:cNvPr id="3" name="Shape 3"/>
          <xdr:cNvSpPr/>
        </xdr:nvSpPr>
        <xdr:spPr>
          <a:xfrm>
            <a:off x="1479550" y="1231250"/>
            <a:ext cx="3593400" cy="730800"/>
          </a:xfrm>
          <a:prstGeom prst="roundRect">
            <a:avLst>
              <a:gd fmla="val 16667" name="adj"/>
            </a:avLst>
          </a:prstGeom>
          <a:solidFill>
            <a:srgbClr val="FF914D"/>
          </a:solidFill>
          <a:ln cap="flat" cmpd="sng" w="9525">
            <a:solidFill>
              <a:srgbClr val="4B2918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2864050" y="1378400"/>
            <a:ext cx="824400" cy="43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>
                <a:solidFill>
                  <a:srgbClr val="4B2918"/>
                </a:solidFill>
                <a:latin typeface="Montserrat"/>
                <a:ea typeface="Montserrat"/>
                <a:cs typeface="Montserrat"/>
                <a:sym typeface="Montserrat"/>
              </a:rPr>
              <a:t>Ativar </a:t>
            </a:r>
            <a:endParaRPr b="1" sz="1600">
              <a:solidFill>
                <a:srgbClr val="4B2918"/>
              </a:solidFill>
              <a:latin typeface="Montserrat"/>
              <a:ea typeface="Montserrat"/>
              <a:cs typeface="Montserrat"/>
              <a:sym typeface="Montserrat"/>
            </a:endParaRPr>
          </a:p>
        </xdr:txBody>
      </xdr:sp>
    </xdr:grpSp>
    <xdr:clientData fLocksWithSheet="0"/>
  </xdr:oneCellAnchor>
  <xdr:oneCellAnchor>
    <xdr:from>
      <xdr:col>6</xdr:col>
      <xdr:colOff>104775</xdr:colOff>
      <xdr:row>6</xdr:row>
      <xdr:rowOff>76200</xdr:rowOff>
    </xdr:from>
    <xdr:ext cx="3467100" cy="2209800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5"/>
    <col customWidth="1" min="2" max="2" width="41.25"/>
    <col customWidth="1" min="3" max="3" width="18.0"/>
    <col customWidth="1" min="4" max="4" width="21.25"/>
    <col customWidth="1" min="5" max="5" width="25.13"/>
    <col customWidth="1" min="6" max="6" width="33.38"/>
    <col customWidth="1" min="7" max="7" width="43.75"/>
    <col customWidth="1" min="8" max="8" width="16.38"/>
    <col customWidth="1" min="9" max="9" width="23.38"/>
    <col customWidth="1" min="10" max="10" width="28.13"/>
    <col customWidth="1" min="11" max="11" width="26.75"/>
  </cols>
  <sheetData>
    <row r="1" ht="67.5" customHeight="1">
      <c r="A1" s="14" t="s">
        <v>13</v>
      </c>
      <c r="B1" s="4"/>
      <c r="C1" s="4"/>
      <c r="D1" s="4"/>
      <c r="E1" s="4"/>
      <c r="F1" s="5"/>
      <c r="G1" s="16"/>
      <c r="H1" s="16"/>
      <c r="I1" s="16"/>
      <c r="J1" s="18"/>
      <c r="K1" s="20"/>
      <c r="L1" s="20"/>
    </row>
    <row r="2">
      <c r="A2" s="1"/>
      <c r="B2" s="1"/>
      <c r="C2" s="1"/>
      <c r="D2" s="1"/>
      <c r="E2" s="1"/>
      <c r="F2" s="1"/>
      <c r="G2" s="1"/>
      <c r="H2" s="1"/>
      <c r="I2" s="1"/>
      <c r="J2" s="24"/>
    </row>
    <row r="3">
      <c r="A3" s="12" t="s">
        <v>2</v>
      </c>
      <c r="B3" s="12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26"/>
      <c r="H3" s="26"/>
      <c r="I3" s="26"/>
      <c r="J3" s="27"/>
      <c r="K3" s="27"/>
      <c r="L3" s="28"/>
    </row>
    <row r="4">
      <c r="A4" s="30">
        <v>45801.0</v>
      </c>
      <c r="B4" s="32" t="s">
        <v>21</v>
      </c>
      <c r="C4" s="34" t="s">
        <v>23</v>
      </c>
      <c r="D4" s="35">
        <v>8.0</v>
      </c>
      <c r="E4" s="37" t="s">
        <v>24</v>
      </c>
      <c r="F4" s="37">
        <v>1.0</v>
      </c>
      <c r="G4" s="38"/>
      <c r="H4" s="40"/>
      <c r="I4" s="38"/>
      <c r="J4" s="41"/>
      <c r="K4" s="41"/>
    </row>
    <row r="5">
      <c r="A5" s="42"/>
      <c r="B5" s="1"/>
      <c r="C5" s="1"/>
      <c r="D5" s="1"/>
      <c r="E5" s="1"/>
      <c r="F5" s="1"/>
      <c r="G5" s="43"/>
      <c r="H5" s="1"/>
      <c r="I5" s="1"/>
      <c r="J5" s="24"/>
    </row>
    <row r="6">
      <c r="A6" s="44"/>
      <c r="B6" s="1"/>
      <c r="C6" s="1"/>
      <c r="D6" s="1"/>
      <c r="E6" s="1"/>
      <c r="F6" s="1"/>
      <c r="G6" s="43"/>
      <c r="H6" s="1"/>
      <c r="I6" s="1"/>
    </row>
    <row r="7">
      <c r="A7" s="45">
        <v>45801.0</v>
      </c>
      <c r="B7" s="49" t="s">
        <v>21</v>
      </c>
      <c r="C7" s="32" t="s">
        <v>23</v>
      </c>
      <c r="D7" s="50">
        <v>8.0</v>
      </c>
      <c r="E7" s="49" t="s">
        <v>24</v>
      </c>
      <c r="F7" s="49">
        <v>1.0</v>
      </c>
      <c r="G7" s="51"/>
      <c r="H7" s="52"/>
      <c r="I7" s="1"/>
      <c r="K7" s="53"/>
      <c r="O7" s="54"/>
      <c r="R7" s="53"/>
    </row>
    <row r="8">
      <c r="A8" s="45">
        <v>45801.0</v>
      </c>
      <c r="B8" s="49" t="s">
        <v>44</v>
      </c>
      <c r="C8" s="32" t="s">
        <v>23</v>
      </c>
      <c r="D8" s="50">
        <v>7.5</v>
      </c>
      <c r="E8" s="49" t="s">
        <v>24</v>
      </c>
      <c r="F8" s="49">
        <v>1.0</v>
      </c>
      <c r="G8" s="51"/>
      <c r="H8" s="52"/>
      <c r="I8" s="1"/>
      <c r="K8" s="53"/>
      <c r="O8" s="54"/>
      <c r="R8" s="53"/>
    </row>
    <row r="9">
      <c r="A9" s="45">
        <v>45801.0</v>
      </c>
      <c r="B9" s="49" t="s">
        <v>45</v>
      </c>
      <c r="C9" s="32" t="s">
        <v>23</v>
      </c>
      <c r="D9" s="50">
        <v>20.0</v>
      </c>
      <c r="E9" s="49" t="s">
        <v>24</v>
      </c>
      <c r="F9" s="49">
        <v>3.0</v>
      </c>
      <c r="G9" s="51"/>
      <c r="H9" s="52"/>
      <c r="I9" s="1"/>
      <c r="K9" s="53"/>
      <c r="O9" s="54"/>
      <c r="R9" s="53"/>
    </row>
    <row r="10">
      <c r="A10" s="45">
        <v>45801.0</v>
      </c>
      <c r="B10" s="49" t="s">
        <v>45</v>
      </c>
      <c r="C10" s="32" t="s">
        <v>23</v>
      </c>
      <c r="D10" s="50">
        <v>20.0</v>
      </c>
      <c r="E10" s="49" t="s">
        <v>24</v>
      </c>
      <c r="F10" s="49">
        <v>3.0</v>
      </c>
      <c r="G10" s="51"/>
      <c r="H10" s="52"/>
      <c r="I10" s="1"/>
      <c r="K10" s="53"/>
      <c r="O10" s="54"/>
      <c r="R10" s="53"/>
    </row>
    <row r="11">
      <c r="A11" s="45">
        <v>45801.0</v>
      </c>
      <c r="B11" s="49" t="s">
        <v>45</v>
      </c>
      <c r="C11" s="32" t="s">
        <v>23</v>
      </c>
      <c r="D11" s="50">
        <v>20.0</v>
      </c>
      <c r="E11" s="49" t="s">
        <v>24</v>
      </c>
      <c r="F11" s="49">
        <v>3.0</v>
      </c>
      <c r="G11" s="51"/>
      <c r="H11" s="52"/>
      <c r="I11" s="1"/>
      <c r="K11" s="53"/>
      <c r="O11" s="54"/>
      <c r="R11" s="53"/>
    </row>
    <row r="12">
      <c r="A12" s="45">
        <v>45801.0</v>
      </c>
      <c r="B12" s="49" t="s">
        <v>47</v>
      </c>
      <c r="C12" s="32" t="s">
        <v>23</v>
      </c>
      <c r="D12" s="50">
        <v>6.5</v>
      </c>
      <c r="E12" s="49" t="s">
        <v>24</v>
      </c>
      <c r="F12" s="49">
        <v>1.0</v>
      </c>
      <c r="G12" s="51"/>
      <c r="H12" s="52"/>
      <c r="I12" s="1"/>
      <c r="K12" s="53"/>
      <c r="O12" s="54"/>
      <c r="R12" s="53"/>
    </row>
    <row r="13">
      <c r="A13" s="45">
        <v>45801.0</v>
      </c>
      <c r="B13" s="49" t="s">
        <v>45</v>
      </c>
      <c r="C13" s="32" t="s">
        <v>23</v>
      </c>
      <c r="D13" s="50">
        <v>20.0</v>
      </c>
      <c r="E13" s="49" t="s">
        <v>24</v>
      </c>
      <c r="F13" s="49">
        <v>3.0</v>
      </c>
      <c r="G13" s="51"/>
      <c r="H13" s="52"/>
      <c r="I13" s="1"/>
      <c r="K13" s="53"/>
      <c r="O13" s="54"/>
      <c r="R13" s="53"/>
    </row>
    <row r="14">
      <c r="A14" s="45">
        <v>45801.0</v>
      </c>
      <c r="B14" s="49" t="s">
        <v>47</v>
      </c>
      <c r="C14" s="32" t="s">
        <v>23</v>
      </c>
      <c r="D14" s="50">
        <v>6.5</v>
      </c>
      <c r="E14" s="49" t="s">
        <v>24</v>
      </c>
      <c r="F14" s="49">
        <v>1.0</v>
      </c>
      <c r="G14" s="51"/>
      <c r="H14" s="52"/>
      <c r="I14" s="1"/>
      <c r="K14" s="53"/>
      <c r="O14" s="54"/>
      <c r="R14" s="53"/>
    </row>
    <row r="15">
      <c r="A15" s="45">
        <v>45801.0</v>
      </c>
      <c r="B15" s="49" t="s">
        <v>49</v>
      </c>
      <c r="C15" s="32" t="s">
        <v>23</v>
      </c>
      <c r="D15" s="50">
        <v>32.0</v>
      </c>
      <c r="E15" s="49" t="s">
        <v>24</v>
      </c>
      <c r="F15" s="49">
        <v>6.0</v>
      </c>
      <c r="G15" s="51"/>
      <c r="H15" s="52"/>
      <c r="I15" s="1"/>
      <c r="K15" s="53"/>
      <c r="O15" s="54"/>
      <c r="R15" s="53"/>
    </row>
    <row r="16">
      <c r="A16" s="45">
        <v>45801.0</v>
      </c>
      <c r="B16" s="49" t="s">
        <v>21</v>
      </c>
      <c r="C16" s="32" t="s">
        <v>23</v>
      </c>
      <c r="D16" s="50">
        <v>8.0</v>
      </c>
      <c r="E16" s="49" t="s">
        <v>24</v>
      </c>
      <c r="F16" s="49">
        <v>1.0</v>
      </c>
      <c r="G16" s="51"/>
      <c r="H16" s="52"/>
      <c r="I16" s="1"/>
      <c r="K16" s="53"/>
      <c r="O16" s="54"/>
      <c r="R16" s="53"/>
    </row>
    <row r="17">
      <c r="A17" s="45">
        <v>45801.0</v>
      </c>
      <c r="B17" s="49" t="s">
        <v>21</v>
      </c>
      <c r="C17" s="32" t="s">
        <v>23</v>
      </c>
      <c r="D17" s="50">
        <v>8.0</v>
      </c>
      <c r="E17" s="49" t="s">
        <v>24</v>
      </c>
      <c r="F17" s="49">
        <v>1.0</v>
      </c>
      <c r="G17" s="51"/>
      <c r="H17" s="52"/>
      <c r="I17" s="1"/>
      <c r="K17" s="53"/>
      <c r="O17" s="54"/>
      <c r="R17" s="53"/>
    </row>
    <row r="18">
      <c r="A18" s="45">
        <v>45801.0</v>
      </c>
      <c r="B18" s="49" t="s">
        <v>21</v>
      </c>
      <c r="C18" s="32" t="s">
        <v>23</v>
      </c>
      <c r="D18" s="50">
        <v>8.0</v>
      </c>
      <c r="E18" s="49" t="s">
        <v>24</v>
      </c>
      <c r="F18" s="49">
        <v>1.0</v>
      </c>
      <c r="G18" s="51"/>
      <c r="H18" s="52"/>
      <c r="I18" s="1"/>
      <c r="K18" s="53"/>
      <c r="O18" s="54"/>
      <c r="R18" s="53"/>
    </row>
    <row r="19">
      <c r="A19" s="45">
        <v>45801.0</v>
      </c>
      <c r="B19" s="49" t="s">
        <v>52</v>
      </c>
      <c r="C19" s="32" t="s">
        <v>23</v>
      </c>
      <c r="D19" s="50">
        <v>40.0</v>
      </c>
      <c r="E19" s="49" t="s">
        <v>24</v>
      </c>
      <c r="F19" s="49">
        <v>5.0</v>
      </c>
      <c r="G19" s="51"/>
      <c r="H19" s="52"/>
      <c r="I19" s="1"/>
      <c r="K19" s="53"/>
      <c r="O19" s="54"/>
      <c r="R19" s="53"/>
    </row>
    <row r="20">
      <c r="A20" s="45">
        <v>45801.0</v>
      </c>
      <c r="B20" s="49" t="s">
        <v>54</v>
      </c>
      <c r="C20" s="32" t="s">
        <v>23</v>
      </c>
      <c r="D20" s="50">
        <v>12.0</v>
      </c>
      <c r="E20" s="49" t="s">
        <v>24</v>
      </c>
      <c r="F20" s="49">
        <v>2.0</v>
      </c>
      <c r="G20" s="51"/>
      <c r="H20" s="52"/>
      <c r="I20" s="1"/>
      <c r="K20" s="53"/>
      <c r="O20" s="54"/>
      <c r="R20" s="53"/>
    </row>
    <row r="21">
      <c r="A21" s="45">
        <v>45801.0</v>
      </c>
      <c r="B21" s="49" t="s">
        <v>47</v>
      </c>
      <c r="C21" s="32" t="s">
        <v>23</v>
      </c>
      <c r="D21" s="50">
        <v>6.5</v>
      </c>
      <c r="E21" s="49" t="s">
        <v>24</v>
      </c>
      <c r="F21" s="49">
        <v>1.0</v>
      </c>
      <c r="G21" s="51"/>
      <c r="H21" s="52"/>
      <c r="I21" s="1"/>
      <c r="K21" s="53"/>
      <c r="O21" s="54"/>
      <c r="R21" s="53"/>
    </row>
    <row r="22">
      <c r="A22" s="45">
        <v>45801.0</v>
      </c>
      <c r="B22" s="49" t="s">
        <v>21</v>
      </c>
      <c r="C22" s="32" t="s">
        <v>23</v>
      </c>
      <c r="D22" s="50">
        <v>8.0</v>
      </c>
      <c r="E22" s="49" t="s">
        <v>24</v>
      </c>
      <c r="F22" s="49">
        <v>1.0</v>
      </c>
      <c r="G22" s="51"/>
      <c r="H22" s="52"/>
      <c r="I22" s="1"/>
      <c r="K22" s="53"/>
      <c r="O22" s="54"/>
      <c r="R22" s="53"/>
    </row>
    <row r="23">
      <c r="A23" s="45">
        <v>45801.0</v>
      </c>
      <c r="B23" s="49" t="s">
        <v>21</v>
      </c>
      <c r="C23" s="32" t="s">
        <v>23</v>
      </c>
      <c r="D23" s="50">
        <v>8.0</v>
      </c>
      <c r="E23" s="49" t="s">
        <v>24</v>
      </c>
      <c r="F23" s="49">
        <v>1.0</v>
      </c>
      <c r="G23" s="51"/>
      <c r="H23" s="52"/>
      <c r="I23" s="1"/>
      <c r="K23" s="53"/>
      <c r="O23" s="54"/>
      <c r="R23" s="53"/>
    </row>
    <row r="24">
      <c r="A24" s="45">
        <v>45801.0</v>
      </c>
      <c r="B24" s="49" t="s">
        <v>21</v>
      </c>
      <c r="C24" s="32" t="s">
        <v>23</v>
      </c>
      <c r="D24" s="50">
        <v>8.0</v>
      </c>
      <c r="E24" s="49" t="s">
        <v>24</v>
      </c>
      <c r="F24" s="49">
        <v>1.0</v>
      </c>
      <c r="G24" s="51"/>
      <c r="H24" s="52"/>
      <c r="I24" s="1"/>
      <c r="K24" s="53"/>
      <c r="O24" s="54"/>
      <c r="R24" s="53"/>
    </row>
    <row r="25">
      <c r="A25" s="45">
        <v>45801.0</v>
      </c>
      <c r="B25" s="49" t="s">
        <v>21</v>
      </c>
      <c r="C25" s="32" t="s">
        <v>23</v>
      </c>
      <c r="D25" s="50">
        <v>8.0</v>
      </c>
      <c r="E25" s="49" t="s">
        <v>24</v>
      </c>
      <c r="F25" s="49">
        <v>1.0</v>
      </c>
      <c r="G25" s="51"/>
      <c r="H25" s="52"/>
      <c r="I25" s="1"/>
      <c r="K25" s="53"/>
      <c r="O25" s="54"/>
      <c r="R25" s="53"/>
    </row>
    <row r="26">
      <c r="A26" s="45">
        <v>45801.0</v>
      </c>
      <c r="B26" s="49" t="s">
        <v>44</v>
      </c>
      <c r="C26" s="32" t="s">
        <v>23</v>
      </c>
      <c r="D26" s="50">
        <v>7.5</v>
      </c>
      <c r="E26" s="49" t="s">
        <v>24</v>
      </c>
      <c r="F26" s="49">
        <v>1.0</v>
      </c>
      <c r="G26" s="51"/>
      <c r="H26" s="52"/>
      <c r="I26" s="1"/>
      <c r="K26" s="53"/>
      <c r="O26" s="54"/>
      <c r="R26" s="53"/>
    </row>
    <row r="27">
      <c r="A27" s="45">
        <v>45801.0</v>
      </c>
      <c r="B27" s="49" t="s">
        <v>60</v>
      </c>
      <c r="C27" s="32" t="s">
        <v>23</v>
      </c>
      <c r="D27" s="50">
        <v>25.0</v>
      </c>
      <c r="E27" s="49" t="s">
        <v>24</v>
      </c>
      <c r="F27" s="49">
        <v>4.0</v>
      </c>
      <c r="G27" s="51"/>
      <c r="H27" s="52"/>
      <c r="I27" s="1"/>
      <c r="K27" s="53"/>
      <c r="O27" s="54"/>
      <c r="R27" s="53"/>
    </row>
    <row r="28">
      <c r="A28" s="45">
        <v>45801.0</v>
      </c>
      <c r="B28" s="49" t="s">
        <v>21</v>
      </c>
      <c r="C28" s="32" t="s">
        <v>23</v>
      </c>
      <c r="D28" s="50">
        <v>8.0</v>
      </c>
      <c r="E28" s="49" t="s">
        <v>24</v>
      </c>
      <c r="F28" s="49">
        <v>1.0</v>
      </c>
      <c r="G28" s="51"/>
      <c r="H28" s="52"/>
      <c r="I28" s="1"/>
      <c r="K28" s="53"/>
      <c r="O28" s="54"/>
      <c r="R28" s="53"/>
    </row>
    <row r="29">
      <c r="A29" s="45">
        <v>45801.0</v>
      </c>
      <c r="B29" s="49" t="s">
        <v>21</v>
      </c>
      <c r="C29" s="32" t="s">
        <v>23</v>
      </c>
      <c r="D29" s="50">
        <v>8.0</v>
      </c>
      <c r="E29" s="49" t="s">
        <v>24</v>
      </c>
      <c r="F29" s="49">
        <v>1.0</v>
      </c>
      <c r="G29" s="51"/>
      <c r="H29" s="52"/>
      <c r="I29" s="1"/>
      <c r="K29" s="53"/>
      <c r="O29" s="54"/>
      <c r="R29" s="53"/>
    </row>
    <row r="30">
      <c r="A30" s="45">
        <v>45801.0</v>
      </c>
      <c r="B30" s="49" t="s">
        <v>21</v>
      </c>
      <c r="C30" s="32" t="s">
        <v>23</v>
      </c>
      <c r="D30" s="50">
        <v>8.0</v>
      </c>
      <c r="E30" s="49" t="s">
        <v>24</v>
      </c>
      <c r="F30" s="49">
        <v>1.0</v>
      </c>
      <c r="G30" s="51"/>
      <c r="H30" s="52"/>
      <c r="I30" s="1"/>
      <c r="K30" s="53"/>
      <c r="O30" s="54"/>
      <c r="R30" s="53"/>
    </row>
    <row r="31">
      <c r="A31" s="45">
        <v>45801.0</v>
      </c>
      <c r="B31" s="49" t="s">
        <v>63</v>
      </c>
      <c r="C31" s="32" t="s">
        <v>23</v>
      </c>
      <c r="D31" s="50">
        <v>1.25</v>
      </c>
      <c r="E31" s="49" t="s">
        <v>24</v>
      </c>
      <c r="F31" s="49"/>
      <c r="G31" s="51"/>
      <c r="H31" s="52"/>
      <c r="I31" s="1"/>
      <c r="K31" s="53"/>
      <c r="O31" s="54"/>
      <c r="R31" s="53"/>
    </row>
    <row r="32">
      <c r="A32" s="45">
        <v>45801.0</v>
      </c>
      <c r="B32" s="49" t="s">
        <v>63</v>
      </c>
      <c r="C32" s="32" t="s">
        <v>64</v>
      </c>
      <c r="D32" s="50">
        <v>11.8</v>
      </c>
      <c r="E32" s="49" t="s">
        <v>24</v>
      </c>
      <c r="F32" s="49"/>
      <c r="G32" s="51"/>
      <c r="H32" s="52"/>
      <c r="I32" s="1"/>
      <c r="K32" s="53"/>
      <c r="O32" s="54"/>
      <c r="R32" s="53"/>
    </row>
    <row r="33">
      <c r="A33" s="45">
        <v>45801.0</v>
      </c>
      <c r="B33" s="49" t="s">
        <v>67</v>
      </c>
      <c r="C33" s="32" t="s">
        <v>23</v>
      </c>
      <c r="D33" s="50">
        <v>14.5</v>
      </c>
      <c r="E33" s="49" t="s">
        <v>24</v>
      </c>
      <c r="F33" s="49">
        <v>3.0</v>
      </c>
      <c r="G33" s="51"/>
      <c r="H33" s="52"/>
      <c r="I33" s="1"/>
      <c r="K33" s="53"/>
      <c r="O33" s="54"/>
      <c r="R33" s="53"/>
    </row>
    <row r="34">
      <c r="A34" s="45">
        <v>45801.0</v>
      </c>
      <c r="B34" s="49" t="s">
        <v>47</v>
      </c>
      <c r="C34" s="32" t="s">
        <v>23</v>
      </c>
      <c r="D34" s="50">
        <v>6.5</v>
      </c>
      <c r="E34" s="49" t="s">
        <v>24</v>
      </c>
      <c r="F34" s="49">
        <v>1.0</v>
      </c>
      <c r="G34" s="51"/>
      <c r="H34" s="52"/>
      <c r="I34" s="1"/>
      <c r="K34" s="53"/>
      <c r="O34" s="54"/>
      <c r="R34" s="53"/>
    </row>
    <row r="35">
      <c r="A35" s="45">
        <v>45801.0</v>
      </c>
      <c r="B35" s="49" t="s">
        <v>45</v>
      </c>
      <c r="C35" s="32" t="s">
        <v>23</v>
      </c>
      <c r="D35" s="50">
        <v>20.0</v>
      </c>
      <c r="E35" s="49" t="s">
        <v>24</v>
      </c>
      <c r="F35" s="49">
        <v>3.0</v>
      </c>
      <c r="G35" s="51"/>
      <c r="H35" s="52"/>
      <c r="I35" s="1"/>
      <c r="K35" s="53"/>
      <c r="O35" s="54"/>
      <c r="R35" s="53"/>
    </row>
    <row r="36">
      <c r="A36" s="45">
        <v>45801.0</v>
      </c>
      <c r="B36" s="49" t="s">
        <v>21</v>
      </c>
      <c r="C36" s="32" t="s">
        <v>23</v>
      </c>
      <c r="D36" s="50">
        <v>8.0</v>
      </c>
      <c r="E36" s="49" t="s">
        <v>24</v>
      </c>
      <c r="F36" s="68">
        <v>1.0</v>
      </c>
      <c r="G36" s="51"/>
      <c r="H36" s="52"/>
      <c r="I36" s="1"/>
      <c r="K36" s="53"/>
      <c r="O36" s="54"/>
      <c r="R36" s="53"/>
    </row>
    <row r="37">
      <c r="A37" s="45">
        <v>45801.0</v>
      </c>
      <c r="B37" s="49" t="s">
        <v>21</v>
      </c>
      <c r="C37" s="32" t="s">
        <v>23</v>
      </c>
      <c r="D37" s="50">
        <v>8.0</v>
      </c>
      <c r="E37" s="49" t="s">
        <v>24</v>
      </c>
      <c r="F37" s="68">
        <v>1.0</v>
      </c>
      <c r="G37" s="51"/>
      <c r="H37" s="52"/>
      <c r="I37" s="1"/>
      <c r="K37" s="53"/>
      <c r="O37" s="54"/>
      <c r="R37" s="53"/>
    </row>
    <row r="38">
      <c r="A38" s="45">
        <v>45801.0</v>
      </c>
      <c r="B38" s="49" t="s">
        <v>73</v>
      </c>
      <c r="C38" s="32" t="s">
        <v>23</v>
      </c>
      <c r="D38" s="50">
        <v>1.5</v>
      </c>
      <c r="E38" s="49" t="s">
        <v>24</v>
      </c>
      <c r="F38" s="68"/>
      <c r="G38" s="51"/>
      <c r="H38" s="52"/>
      <c r="I38" s="1"/>
      <c r="K38" s="53"/>
      <c r="O38" s="54"/>
      <c r="R38" s="53"/>
    </row>
    <row r="39">
      <c r="A39" s="45">
        <v>45801.0</v>
      </c>
      <c r="B39" s="49" t="s">
        <v>74</v>
      </c>
      <c r="C39" s="32" t="s">
        <v>23</v>
      </c>
      <c r="D39" s="50">
        <v>16.0</v>
      </c>
      <c r="E39" s="49" t="s">
        <v>24</v>
      </c>
      <c r="F39" s="68">
        <v>2.0</v>
      </c>
      <c r="G39" s="51"/>
      <c r="H39" s="52"/>
      <c r="I39" s="1"/>
      <c r="K39" s="53"/>
      <c r="O39" s="54"/>
      <c r="R39" s="53"/>
    </row>
    <row r="40">
      <c r="A40" s="45">
        <v>45801.0</v>
      </c>
      <c r="B40" s="49" t="s">
        <v>76</v>
      </c>
      <c r="C40" s="32" t="s">
        <v>23</v>
      </c>
      <c r="D40" s="50">
        <v>20.0</v>
      </c>
      <c r="E40" s="49" t="s">
        <v>24</v>
      </c>
      <c r="F40" s="68">
        <v>3.0</v>
      </c>
      <c r="G40" s="51"/>
      <c r="H40" s="52"/>
      <c r="I40" s="1"/>
      <c r="K40" s="53"/>
      <c r="O40" s="54"/>
      <c r="R40" s="53"/>
    </row>
    <row r="41">
      <c r="A41" s="45">
        <v>45801.0</v>
      </c>
      <c r="B41" s="49" t="s">
        <v>60</v>
      </c>
      <c r="C41" s="32" t="s">
        <v>23</v>
      </c>
      <c r="D41" s="50">
        <v>24.0</v>
      </c>
      <c r="E41" s="49" t="s">
        <v>24</v>
      </c>
      <c r="F41" s="68">
        <v>4.0</v>
      </c>
      <c r="G41" s="51"/>
      <c r="H41" s="52"/>
      <c r="I41" s="1"/>
      <c r="K41" s="53"/>
      <c r="O41" s="54"/>
      <c r="R41" s="53"/>
    </row>
    <row r="42">
      <c r="A42" s="45">
        <v>45801.0</v>
      </c>
      <c r="B42" s="49" t="s">
        <v>21</v>
      </c>
      <c r="C42" s="32" t="s">
        <v>23</v>
      </c>
      <c r="D42" s="50">
        <v>8.0</v>
      </c>
      <c r="E42" s="49" t="s">
        <v>24</v>
      </c>
      <c r="F42" s="68">
        <v>1.0</v>
      </c>
      <c r="G42" s="51"/>
      <c r="H42" s="52"/>
      <c r="I42" s="1"/>
      <c r="K42" s="53"/>
      <c r="O42" s="54"/>
      <c r="R42" s="53"/>
    </row>
    <row r="43">
      <c r="A43" s="45">
        <v>45801.0</v>
      </c>
      <c r="B43" s="49" t="s">
        <v>21</v>
      </c>
      <c r="C43" s="32" t="s">
        <v>23</v>
      </c>
      <c r="D43" s="50">
        <v>8.0</v>
      </c>
      <c r="E43" s="49" t="s">
        <v>24</v>
      </c>
      <c r="F43" s="68">
        <v>1.0</v>
      </c>
      <c r="G43" s="51"/>
      <c r="H43" s="52"/>
      <c r="I43" s="1"/>
      <c r="K43" s="53"/>
      <c r="O43" s="54"/>
      <c r="R43" s="53"/>
    </row>
    <row r="44">
      <c r="A44" s="45">
        <v>45801.0</v>
      </c>
      <c r="B44" s="49" t="s">
        <v>21</v>
      </c>
      <c r="C44" s="32" t="s">
        <v>23</v>
      </c>
      <c r="D44" s="50">
        <v>8.0</v>
      </c>
      <c r="E44" s="49" t="s">
        <v>24</v>
      </c>
      <c r="F44" s="68">
        <v>1.0</v>
      </c>
      <c r="G44" s="51"/>
      <c r="H44" s="52"/>
      <c r="I44" s="1"/>
      <c r="K44" s="53"/>
      <c r="O44" s="54"/>
      <c r="R44" s="53"/>
    </row>
    <row r="45">
      <c r="A45" s="45">
        <v>45801.0</v>
      </c>
      <c r="B45" s="49" t="s">
        <v>21</v>
      </c>
      <c r="C45" s="32" t="s">
        <v>23</v>
      </c>
      <c r="D45" s="50">
        <v>8.0</v>
      </c>
      <c r="E45" s="49" t="s">
        <v>24</v>
      </c>
      <c r="F45" s="68">
        <v>1.0</v>
      </c>
      <c r="G45" s="51"/>
      <c r="H45" s="52"/>
      <c r="I45" s="1"/>
      <c r="K45" s="53"/>
      <c r="O45" s="54"/>
      <c r="R45" s="53"/>
    </row>
    <row r="46">
      <c r="A46" s="45">
        <v>45801.0</v>
      </c>
      <c r="B46" s="49" t="s">
        <v>84</v>
      </c>
      <c r="C46" s="32" t="s">
        <v>23</v>
      </c>
      <c r="D46" s="50">
        <v>39.0</v>
      </c>
      <c r="E46" s="49" t="s">
        <v>24</v>
      </c>
      <c r="F46" s="68">
        <v>5.0</v>
      </c>
      <c r="G46" s="51"/>
      <c r="H46" s="52"/>
      <c r="I46" s="1"/>
      <c r="K46" s="53"/>
      <c r="O46" s="54"/>
      <c r="R46" s="53"/>
    </row>
    <row r="47">
      <c r="A47" s="45">
        <v>45801.0</v>
      </c>
      <c r="B47" s="49" t="s">
        <v>85</v>
      </c>
      <c r="C47" s="32" t="s">
        <v>64</v>
      </c>
      <c r="D47" s="50">
        <v>48.79</v>
      </c>
      <c r="E47" s="49" t="s">
        <v>24</v>
      </c>
      <c r="F47" s="68"/>
      <c r="G47" s="51"/>
      <c r="H47" s="52"/>
      <c r="I47" s="1"/>
      <c r="K47" s="53"/>
      <c r="O47" s="54"/>
      <c r="R47" s="53"/>
    </row>
    <row r="48">
      <c r="A48" s="45">
        <v>45801.0</v>
      </c>
      <c r="B48" s="49" t="s">
        <v>47</v>
      </c>
      <c r="C48" s="32" t="s">
        <v>23</v>
      </c>
      <c r="D48" s="50">
        <v>6.5</v>
      </c>
      <c r="E48" s="49" t="s">
        <v>24</v>
      </c>
      <c r="F48" s="68">
        <v>1.0</v>
      </c>
      <c r="G48" s="51"/>
      <c r="H48" s="52"/>
      <c r="I48" s="1"/>
      <c r="K48" s="53"/>
      <c r="O48" s="54"/>
      <c r="R48" s="53"/>
    </row>
    <row r="49">
      <c r="A49" s="45">
        <v>45801.0</v>
      </c>
      <c r="B49" s="49" t="s">
        <v>88</v>
      </c>
      <c r="C49" s="32" t="s">
        <v>23</v>
      </c>
      <c r="D49" s="50">
        <v>60.0</v>
      </c>
      <c r="E49" s="49" t="s">
        <v>24</v>
      </c>
      <c r="F49" s="68">
        <v>10.0</v>
      </c>
      <c r="G49" s="51"/>
      <c r="H49" s="52"/>
      <c r="I49" s="1"/>
      <c r="K49" s="53"/>
      <c r="O49" s="54"/>
      <c r="R49" s="53"/>
    </row>
    <row r="50">
      <c r="A50" s="45">
        <v>45801.0</v>
      </c>
      <c r="B50" s="49" t="s">
        <v>21</v>
      </c>
      <c r="C50" s="32" t="s">
        <v>23</v>
      </c>
      <c r="D50" s="50">
        <v>8.0</v>
      </c>
      <c r="E50" s="49" t="s">
        <v>24</v>
      </c>
      <c r="F50" s="68">
        <v>1.0</v>
      </c>
      <c r="G50" s="51"/>
      <c r="H50" s="52"/>
      <c r="I50" s="1"/>
      <c r="K50" s="53"/>
      <c r="O50" s="54"/>
      <c r="R50" s="53"/>
    </row>
    <row r="51">
      <c r="A51" s="45">
        <v>45801.0</v>
      </c>
      <c r="B51" s="49" t="s">
        <v>91</v>
      </c>
      <c r="C51" s="32" t="s">
        <v>23</v>
      </c>
      <c r="D51" s="50">
        <v>16.0</v>
      </c>
      <c r="E51" s="49" t="s">
        <v>24</v>
      </c>
      <c r="F51" s="68">
        <v>2.0</v>
      </c>
      <c r="G51" s="51"/>
      <c r="H51" s="52"/>
      <c r="I51" s="1"/>
      <c r="K51" s="53"/>
      <c r="O51" s="54"/>
      <c r="R51" s="53"/>
    </row>
    <row r="52">
      <c r="A52" s="45">
        <v>45801.0</v>
      </c>
      <c r="B52" s="49" t="s">
        <v>92</v>
      </c>
      <c r="C52" s="32" t="s">
        <v>23</v>
      </c>
      <c r="D52" s="50">
        <v>120.0</v>
      </c>
      <c r="E52" s="49" t="s">
        <v>24</v>
      </c>
      <c r="F52" s="68">
        <v>20.0</v>
      </c>
      <c r="G52" s="51"/>
      <c r="H52" s="52"/>
      <c r="I52" s="1"/>
      <c r="K52" s="53"/>
      <c r="O52" s="54"/>
      <c r="R52" s="53"/>
    </row>
    <row r="53">
      <c r="A53" s="45">
        <v>45801.0</v>
      </c>
      <c r="B53" s="49" t="s">
        <v>67</v>
      </c>
      <c r="C53" s="32" t="s">
        <v>23</v>
      </c>
      <c r="D53" s="50">
        <v>14.5</v>
      </c>
      <c r="E53" s="49" t="s">
        <v>24</v>
      </c>
      <c r="F53" s="68">
        <v>2.0</v>
      </c>
      <c r="G53" s="51"/>
      <c r="H53" s="52"/>
      <c r="I53" s="1"/>
      <c r="K53" s="53"/>
      <c r="O53" s="54"/>
      <c r="R53" s="53"/>
    </row>
    <row r="54">
      <c r="A54" s="45">
        <v>45800.0</v>
      </c>
      <c r="B54" s="49" t="s">
        <v>93</v>
      </c>
      <c r="C54" s="32" t="s">
        <v>23</v>
      </c>
      <c r="D54" s="50">
        <v>30.0</v>
      </c>
      <c r="E54" s="49" t="s">
        <v>24</v>
      </c>
      <c r="F54" s="68">
        <v>5.0</v>
      </c>
      <c r="G54" s="51"/>
      <c r="H54" s="52"/>
      <c r="I54" s="1"/>
      <c r="K54" s="53"/>
      <c r="O54" s="54"/>
      <c r="R54" s="53"/>
    </row>
    <row r="55">
      <c r="A55" s="45">
        <v>45800.0</v>
      </c>
      <c r="B55" s="49" t="s">
        <v>21</v>
      </c>
      <c r="C55" s="32" t="s">
        <v>23</v>
      </c>
      <c r="D55" s="50">
        <v>8.0</v>
      </c>
      <c r="E55" s="49" t="s">
        <v>24</v>
      </c>
      <c r="F55" s="68">
        <v>1.0</v>
      </c>
      <c r="G55" s="51"/>
      <c r="H55" s="52"/>
      <c r="I55" s="1"/>
      <c r="K55" s="53"/>
      <c r="O55" s="54"/>
      <c r="R55" s="53"/>
    </row>
    <row r="56">
      <c r="A56" s="45">
        <v>45800.0</v>
      </c>
      <c r="B56" s="49" t="s">
        <v>47</v>
      </c>
      <c r="C56" s="32" t="s">
        <v>23</v>
      </c>
      <c r="D56" s="50">
        <v>6.5</v>
      </c>
      <c r="E56" s="49" t="s">
        <v>24</v>
      </c>
      <c r="F56" s="68">
        <v>1.0</v>
      </c>
      <c r="G56" s="51"/>
      <c r="H56" s="52"/>
      <c r="I56" s="1"/>
      <c r="K56" s="53"/>
      <c r="O56" s="54"/>
      <c r="R56" s="53"/>
    </row>
    <row r="57">
      <c r="A57" s="45">
        <v>45800.0</v>
      </c>
      <c r="B57" s="49" t="s">
        <v>47</v>
      </c>
      <c r="C57" s="32" t="s">
        <v>23</v>
      </c>
      <c r="D57" s="50">
        <v>6.5</v>
      </c>
      <c r="E57" s="49" t="s">
        <v>24</v>
      </c>
      <c r="F57" s="68">
        <v>1.0</v>
      </c>
      <c r="G57" s="51"/>
      <c r="H57" s="52"/>
      <c r="I57" s="1"/>
      <c r="K57" s="53"/>
      <c r="O57" s="54"/>
      <c r="R57" s="53"/>
    </row>
    <row r="58">
      <c r="A58" s="45">
        <v>45800.0</v>
      </c>
      <c r="B58" s="49" t="s">
        <v>44</v>
      </c>
      <c r="C58" s="32" t="s">
        <v>23</v>
      </c>
      <c r="D58" s="50">
        <v>7.5</v>
      </c>
      <c r="E58" s="49" t="s">
        <v>24</v>
      </c>
      <c r="F58" s="68">
        <v>1.0</v>
      </c>
      <c r="G58" s="51"/>
      <c r="H58" s="52"/>
      <c r="I58" s="1"/>
      <c r="K58" s="53"/>
      <c r="O58" s="54"/>
      <c r="R58" s="53"/>
    </row>
    <row r="59">
      <c r="A59" s="45">
        <v>45800.0</v>
      </c>
      <c r="B59" s="49" t="s">
        <v>54</v>
      </c>
      <c r="C59" s="32" t="s">
        <v>23</v>
      </c>
      <c r="D59" s="50">
        <v>12.0</v>
      </c>
      <c r="E59" s="49" t="s">
        <v>24</v>
      </c>
      <c r="F59" s="68">
        <v>2.0</v>
      </c>
      <c r="G59" s="51"/>
      <c r="H59" s="52"/>
      <c r="I59" s="1"/>
      <c r="K59" s="53"/>
      <c r="O59" s="54"/>
      <c r="R59" s="53"/>
    </row>
    <row r="60">
      <c r="A60" s="45">
        <v>45800.0</v>
      </c>
      <c r="B60" s="49" t="s">
        <v>54</v>
      </c>
      <c r="C60" s="32" t="s">
        <v>23</v>
      </c>
      <c r="D60" s="50">
        <v>12.0</v>
      </c>
      <c r="E60" s="49" t="s">
        <v>24</v>
      </c>
      <c r="F60" s="68">
        <v>2.0</v>
      </c>
      <c r="G60" s="51"/>
      <c r="H60" s="52"/>
      <c r="I60" s="1"/>
      <c r="K60" s="53"/>
      <c r="O60" s="54"/>
      <c r="R60" s="53"/>
    </row>
    <row r="61">
      <c r="A61" s="45">
        <v>45800.0</v>
      </c>
      <c r="B61" s="49" t="s">
        <v>45</v>
      </c>
      <c r="C61" s="32" t="s">
        <v>23</v>
      </c>
      <c r="D61" s="50">
        <v>20.0</v>
      </c>
      <c r="E61" s="49" t="s">
        <v>24</v>
      </c>
      <c r="F61" s="68">
        <v>3.0</v>
      </c>
      <c r="G61" s="51"/>
      <c r="H61" s="52"/>
      <c r="I61" s="1"/>
      <c r="K61" s="53"/>
      <c r="O61" s="54"/>
      <c r="R61" s="53"/>
    </row>
    <row r="62">
      <c r="A62" s="45">
        <v>45800.0</v>
      </c>
      <c r="B62" s="49" t="s">
        <v>45</v>
      </c>
      <c r="C62" s="32" t="s">
        <v>23</v>
      </c>
      <c r="D62" s="50">
        <v>20.0</v>
      </c>
      <c r="E62" s="49" t="s">
        <v>24</v>
      </c>
      <c r="F62" s="68">
        <v>3.0</v>
      </c>
      <c r="G62" s="51"/>
      <c r="H62" s="52"/>
      <c r="I62" s="1"/>
      <c r="K62" s="53"/>
      <c r="O62" s="54"/>
      <c r="R62" s="53"/>
    </row>
    <row r="63">
      <c r="A63" s="45">
        <v>45800.0</v>
      </c>
      <c r="B63" s="49" t="s">
        <v>102</v>
      </c>
      <c r="C63" s="32" t="s">
        <v>23</v>
      </c>
      <c r="D63" s="50">
        <v>50.0</v>
      </c>
      <c r="E63" s="49" t="s">
        <v>24</v>
      </c>
      <c r="F63" s="68">
        <v>8.0</v>
      </c>
      <c r="G63" s="51"/>
      <c r="H63" s="52"/>
      <c r="I63" s="1"/>
      <c r="K63" s="53"/>
      <c r="O63" s="54"/>
      <c r="R63" s="53"/>
    </row>
    <row r="64">
      <c r="A64" s="45">
        <v>45800.0</v>
      </c>
      <c r="B64" s="49" t="s">
        <v>21</v>
      </c>
      <c r="C64" s="32" t="s">
        <v>23</v>
      </c>
      <c r="D64" s="50">
        <v>8.0</v>
      </c>
      <c r="E64" s="49" t="s">
        <v>24</v>
      </c>
      <c r="F64" s="68">
        <v>1.0</v>
      </c>
      <c r="G64" s="51"/>
      <c r="H64" s="52"/>
      <c r="I64" s="1"/>
      <c r="K64" s="53"/>
      <c r="O64" s="54"/>
      <c r="R64" s="53"/>
    </row>
    <row r="65">
      <c r="A65" s="45">
        <v>45800.0</v>
      </c>
      <c r="B65" s="49" t="s">
        <v>88</v>
      </c>
      <c r="C65" s="32" t="s">
        <v>23</v>
      </c>
      <c r="D65" s="50">
        <v>60.0</v>
      </c>
      <c r="E65" s="49" t="s">
        <v>24</v>
      </c>
      <c r="F65" s="68">
        <v>2.0</v>
      </c>
      <c r="G65" s="51"/>
      <c r="H65" s="52"/>
      <c r="I65" s="1"/>
      <c r="K65" s="53"/>
      <c r="O65" s="54"/>
      <c r="R65" s="53"/>
    </row>
    <row r="66">
      <c r="A66" s="45">
        <v>45800.0</v>
      </c>
      <c r="B66" s="49" t="s">
        <v>54</v>
      </c>
      <c r="C66" s="32" t="s">
        <v>23</v>
      </c>
      <c r="D66" s="50">
        <v>12.0</v>
      </c>
      <c r="E66" s="49" t="s">
        <v>24</v>
      </c>
      <c r="F66" s="68">
        <v>2.0</v>
      </c>
      <c r="G66" s="69"/>
      <c r="H66" s="52"/>
      <c r="I66" s="1"/>
      <c r="K66" s="53"/>
      <c r="O66" s="54"/>
      <c r="R66" s="53"/>
    </row>
    <row r="67">
      <c r="A67" s="45">
        <v>45800.0</v>
      </c>
      <c r="B67" s="49" t="s">
        <v>47</v>
      </c>
      <c r="C67" s="32" t="s">
        <v>23</v>
      </c>
      <c r="D67" s="50">
        <v>6.0</v>
      </c>
      <c r="E67" s="49" t="s">
        <v>24</v>
      </c>
      <c r="F67" s="68">
        <v>1.0</v>
      </c>
      <c r="G67" s="69"/>
      <c r="H67" s="52"/>
      <c r="I67" s="1"/>
      <c r="K67" s="53"/>
      <c r="O67" s="54"/>
      <c r="R67" s="53"/>
    </row>
    <row r="68">
      <c r="A68" s="45">
        <v>45800.0</v>
      </c>
      <c r="B68" s="49" t="s">
        <v>44</v>
      </c>
      <c r="C68" s="32" t="s">
        <v>23</v>
      </c>
      <c r="D68" s="50">
        <v>7.5</v>
      </c>
      <c r="E68" s="49" t="s">
        <v>24</v>
      </c>
      <c r="F68" s="68">
        <v>1.0</v>
      </c>
      <c r="G68" s="69"/>
      <c r="H68" s="52"/>
      <c r="I68" s="1"/>
      <c r="K68" s="53"/>
      <c r="O68" s="54"/>
      <c r="R68" s="53"/>
    </row>
    <row r="69">
      <c r="A69" s="45">
        <v>45800.0</v>
      </c>
      <c r="B69" s="49" t="s">
        <v>54</v>
      </c>
      <c r="C69" s="32" t="s">
        <v>23</v>
      </c>
      <c r="D69" s="50">
        <v>12.0</v>
      </c>
      <c r="E69" s="49" t="s">
        <v>24</v>
      </c>
      <c r="F69" s="68">
        <v>2.0</v>
      </c>
      <c r="G69" s="69"/>
      <c r="H69" s="52"/>
      <c r="I69" s="1"/>
      <c r="K69" s="53"/>
      <c r="O69" s="54"/>
      <c r="R69" s="53"/>
    </row>
    <row r="70">
      <c r="A70" s="45">
        <v>45800.0</v>
      </c>
      <c r="B70" s="49" t="s">
        <v>44</v>
      </c>
      <c r="C70" s="32" t="s">
        <v>23</v>
      </c>
      <c r="D70" s="50">
        <v>7.5</v>
      </c>
      <c r="E70" s="49" t="s">
        <v>24</v>
      </c>
      <c r="F70" s="68">
        <v>1.0</v>
      </c>
      <c r="G70" s="69"/>
      <c r="H70" s="52"/>
      <c r="I70" s="1"/>
      <c r="K70" s="53"/>
      <c r="O70" s="54"/>
      <c r="R70" s="53"/>
    </row>
    <row r="71">
      <c r="A71" s="45">
        <v>45800.0</v>
      </c>
      <c r="B71" s="49" t="s">
        <v>110</v>
      </c>
      <c r="C71" s="32" t="s">
        <v>23</v>
      </c>
      <c r="D71" s="50">
        <v>24.0</v>
      </c>
      <c r="E71" s="49" t="s">
        <v>24</v>
      </c>
      <c r="F71" s="68">
        <v>4.0</v>
      </c>
      <c r="G71" s="69"/>
      <c r="H71" s="52"/>
      <c r="I71" s="1"/>
      <c r="K71" s="53"/>
      <c r="O71" s="54"/>
      <c r="R71" s="53"/>
    </row>
    <row r="72">
      <c r="A72" s="45">
        <v>45800.0</v>
      </c>
      <c r="B72" s="49" t="s">
        <v>54</v>
      </c>
      <c r="C72" s="32" t="s">
        <v>23</v>
      </c>
      <c r="D72" s="50">
        <v>12.0</v>
      </c>
      <c r="E72" s="49" t="s">
        <v>24</v>
      </c>
      <c r="F72" s="68">
        <v>1.0</v>
      </c>
      <c r="G72" s="69"/>
      <c r="H72" s="52"/>
      <c r="I72" s="1"/>
      <c r="K72" s="53"/>
      <c r="O72" s="54"/>
      <c r="R72" s="53"/>
    </row>
    <row r="73">
      <c r="A73" s="45">
        <v>45800.0</v>
      </c>
      <c r="B73" s="49" t="s">
        <v>54</v>
      </c>
      <c r="C73" s="32" t="s">
        <v>23</v>
      </c>
      <c r="D73" s="50">
        <v>12.0</v>
      </c>
      <c r="E73" s="49" t="s">
        <v>24</v>
      </c>
      <c r="F73" s="68">
        <v>1.0</v>
      </c>
      <c r="G73" s="69"/>
      <c r="H73" s="52"/>
      <c r="I73" s="1"/>
      <c r="K73" s="53"/>
      <c r="O73" s="54"/>
      <c r="R73" s="53"/>
    </row>
    <row r="74">
      <c r="A74" s="45">
        <v>45800.0</v>
      </c>
      <c r="B74" s="49" t="s">
        <v>54</v>
      </c>
      <c r="C74" s="32" t="s">
        <v>23</v>
      </c>
      <c r="D74" s="50">
        <v>12.0</v>
      </c>
      <c r="E74" s="49" t="s">
        <v>24</v>
      </c>
      <c r="F74" s="68">
        <v>1.0</v>
      </c>
      <c r="G74" s="69"/>
      <c r="H74" s="52"/>
      <c r="I74" s="1"/>
      <c r="K74" s="53"/>
      <c r="O74" s="54"/>
      <c r="R74" s="53"/>
    </row>
    <row r="75">
      <c r="A75" s="45">
        <v>45800.0</v>
      </c>
      <c r="B75" s="49" t="s">
        <v>54</v>
      </c>
      <c r="C75" s="32" t="s">
        <v>23</v>
      </c>
      <c r="D75" s="50">
        <v>12.0</v>
      </c>
      <c r="E75" s="49" t="s">
        <v>24</v>
      </c>
      <c r="F75" s="68">
        <v>1.0</v>
      </c>
      <c r="G75" s="69"/>
      <c r="H75" s="52"/>
      <c r="I75" s="1"/>
      <c r="K75" s="53"/>
      <c r="O75" s="54"/>
      <c r="R75" s="53"/>
    </row>
    <row r="76">
      <c r="A76" s="45">
        <v>45800.0</v>
      </c>
      <c r="B76" s="49" t="s">
        <v>54</v>
      </c>
      <c r="C76" s="32" t="s">
        <v>23</v>
      </c>
      <c r="D76" s="50">
        <v>12.0</v>
      </c>
      <c r="E76" s="49" t="s">
        <v>24</v>
      </c>
      <c r="F76" s="68">
        <v>1.0</v>
      </c>
      <c r="G76" s="69"/>
      <c r="H76" s="52"/>
      <c r="I76" s="1"/>
      <c r="K76" s="53"/>
      <c r="O76" s="54"/>
      <c r="R76" s="53"/>
    </row>
    <row r="77">
      <c r="A77" s="45">
        <v>45800.0</v>
      </c>
      <c r="B77" s="49" t="s">
        <v>54</v>
      </c>
      <c r="C77" s="32" t="s">
        <v>23</v>
      </c>
      <c r="D77" s="50">
        <v>12.0</v>
      </c>
      <c r="E77" s="49" t="s">
        <v>24</v>
      </c>
      <c r="F77" s="68">
        <v>1.0</v>
      </c>
      <c r="G77" s="69"/>
      <c r="H77" s="52"/>
      <c r="I77" s="1"/>
      <c r="K77" s="53"/>
      <c r="O77" s="54"/>
      <c r="R77" s="53"/>
    </row>
    <row r="78">
      <c r="A78" s="45">
        <v>45800.0</v>
      </c>
      <c r="B78" s="49" t="s">
        <v>54</v>
      </c>
      <c r="C78" s="32" t="s">
        <v>23</v>
      </c>
      <c r="D78" s="50">
        <v>12.0</v>
      </c>
      <c r="E78" s="49" t="s">
        <v>24</v>
      </c>
      <c r="F78" s="68">
        <v>1.0</v>
      </c>
      <c r="G78" s="69"/>
      <c r="H78" s="52"/>
      <c r="I78" s="1"/>
      <c r="K78" s="53"/>
      <c r="O78" s="54"/>
      <c r="R78" s="53"/>
    </row>
    <row r="79">
      <c r="A79" s="45">
        <v>45800.0</v>
      </c>
      <c r="B79" s="49" t="s">
        <v>21</v>
      </c>
      <c r="C79" s="32" t="s">
        <v>23</v>
      </c>
      <c r="D79" s="50">
        <v>8.0</v>
      </c>
      <c r="E79" s="49" t="s">
        <v>24</v>
      </c>
      <c r="F79" s="68">
        <v>1.0</v>
      </c>
      <c r="G79" s="69"/>
      <c r="H79" s="52"/>
      <c r="I79" s="1"/>
      <c r="K79" s="53"/>
      <c r="O79" s="54"/>
      <c r="R79" s="53"/>
    </row>
    <row r="80">
      <c r="A80" s="45">
        <v>45800.0</v>
      </c>
      <c r="B80" s="49" t="s">
        <v>21</v>
      </c>
      <c r="C80" s="32" t="s">
        <v>23</v>
      </c>
      <c r="D80" s="50">
        <v>8.0</v>
      </c>
      <c r="E80" s="49" t="s">
        <v>24</v>
      </c>
      <c r="F80" s="68">
        <v>1.0</v>
      </c>
      <c r="G80" s="69"/>
      <c r="H80" s="52"/>
      <c r="I80" s="1"/>
      <c r="K80" s="53"/>
      <c r="O80" s="54"/>
      <c r="R80" s="53"/>
    </row>
    <row r="81">
      <c r="A81" s="45">
        <v>45800.0</v>
      </c>
      <c r="B81" s="49" t="s">
        <v>47</v>
      </c>
      <c r="C81" s="32" t="s">
        <v>23</v>
      </c>
      <c r="D81" s="50">
        <v>6.5</v>
      </c>
      <c r="E81" s="49" t="s">
        <v>24</v>
      </c>
      <c r="F81" s="68">
        <v>1.0</v>
      </c>
      <c r="G81" s="69"/>
      <c r="H81" s="52"/>
      <c r="I81" s="1"/>
      <c r="K81" s="53"/>
      <c r="O81" s="54"/>
      <c r="R81" s="53"/>
    </row>
    <row r="82">
      <c r="A82" s="45">
        <v>45800.0</v>
      </c>
      <c r="B82" s="49" t="s">
        <v>44</v>
      </c>
      <c r="C82" s="32" t="s">
        <v>23</v>
      </c>
      <c r="D82" s="50">
        <v>7.5</v>
      </c>
      <c r="E82" s="49" t="s">
        <v>24</v>
      </c>
      <c r="F82" s="68">
        <v>1.0</v>
      </c>
      <c r="G82" s="69"/>
      <c r="H82" s="52"/>
      <c r="I82" s="1"/>
      <c r="K82" s="53"/>
      <c r="O82" s="54"/>
      <c r="R82" s="53"/>
    </row>
    <row r="83">
      <c r="A83" s="45">
        <v>45800.0</v>
      </c>
      <c r="B83" s="49" t="s">
        <v>122</v>
      </c>
      <c r="C83" s="32" t="s">
        <v>23</v>
      </c>
      <c r="D83" s="50">
        <v>18.0</v>
      </c>
      <c r="E83" s="49" t="s">
        <v>24</v>
      </c>
      <c r="F83" s="68">
        <v>3.0</v>
      </c>
      <c r="G83" s="69"/>
      <c r="H83" s="52"/>
      <c r="I83" s="1"/>
      <c r="K83" s="53"/>
      <c r="O83" s="54"/>
      <c r="R83" s="53"/>
    </row>
    <row r="84">
      <c r="A84" s="45">
        <v>45800.0</v>
      </c>
      <c r="B84" s="49" t="s">
        <v>124</v>
      </c>
      <c r="C84" s="32" t="s">
        <v>23</v>
      </c>
      <c r="D84" s="50">
        <v>180.0</v>
      </c>
      <c r="E84" s="49" t="s">
        <v>24</v>
      </c>
      <c r="F84" s="68">
        <v>30.0</v>
      </c>
      <c r="G84" s="69"/>
      <c r="H84" s="52"/>
      <c r="I84" s="1"/>
      <c r="K84" s="53"/>
      <c r="O84" s="54"/>
      <c r="R84" s="53"/>
    </row>
    <row r="85">
      <c r="A85" s="45">
        <v>45800.0</v>
      </c>
      <c r="B85" s="49" t="s">
        <v>54</v>
      </c>
      <c r="C85" s="32" t="s">
        <v>23</v>
      </c>
      <c r="D85" s="50">
        <v>12.0</v>
      </c>
      <c r="E85" s="49" t="s">
        <v>24</v>
      </c>
      <c r="F85" s="68">
        <v>2.0</v>
      </c>
      <c r="G85" s="69"/>
      <c r="H85" s="52"/>
      <c r="I85" s="1"/>
      <c r="K85" s="53"/>
      <c r="O85" s="54"/>
      <c r="R85" s="53"/>
    </row>
    <row r="86">
      <c r="A86" s="45">
        <v>45800.0</v>
      </c>
      <c r="B86" s="49" t="s">
        <v>67</v>
      </c>
      <c r="C86" s="32" t="s">
        <v>23</v>
      </c>
      <c r="D86" s="50">
        <v>14.5</v>
      </c>
      <c r="E86" s="49" t="s">
        <v>24</v>
      </c>
      <c r="F86" s="68">
        <v>2.0</v>
      </c>
      <c r="G86" s="69"/>
      <c r="H86" s="52"/>
      <c r="I86" s="1"/>
      <c r="K86" s="53"/>
      <c r="O86" s="54"/>
      <c r="R86" s="53"/>
    </row>
    <row r="87">
      <c r="A87" s="45">
        <v>45800.0</v>
      </c>
      <c r="B87" s="49" t="s">
        <v>21</v>
      </c>
      <c r="C87" s="32" t="s">
        <v>23</v>
      </c>
      <c r="D87" s="50">
        <v>8.0</v>
      </c>
      <c r="E87" s="49" t="s">
        <v>24</v>
      </c>
      <c r="F87" s="68">
        <v>1.0</v>
      </c>
      <c r="G87" s="69"/>
      <c r="H87" s="52"/>
      <c r="I87" s="1"/>
      <c r="K87" s="53"/>
      <c r="O87" s="54"/>
      <c r="R87" s="53"/>
    </row>
    <row r="88">
      <c r="A88" s="45">
        <v>45800.0</v>
      </c>
      <c r="B88" s="49" t="s">
        <v>21</v>
      </c>
      <c r="C88" s="32" t="s">
        <v>23</v>
      </c>
      <c r="D88" s="50">
        <v>8.0</v>
      </c>
      <c r="E88" s="49" t="s">
        <v>24</v>
      </c>
      <c r="F88" s="68">
        <v>1.0</v>
      </c>
      <c r="G88" s="69"/>
      <c r="H88" s="52"/>
      <c r="I88" s="1"/>
      <c r="K88" s="53"/>
      <c r="O88" s="54"/>
      <c r="R88" s="53"/>
    </row>
    <row r="89">
      <c r="A89" s="45">
        <v>45800.0</v>
      </c>
      <c r="B89" s="49" t="s">
        <v>130</v>
      </c>
      <c r="C89" s="32" t="s">
        <v>23</v>
      </c>
      <c r="D89" s="50">
        <v>7.5</v>
      </c>
      <c r="E89" s="49" t="s">
        <v>24</v>
      </c>
      <c r="F89" s="68">
        <v>1.0</v>
      </c>
      <c r="G89" s="69"/>
      <c r="H89" s="52"/>
      <c r="I89" s="1"/>
      <c r="K89" s="53"/>
      <c r="O89" s="54"/>
      <c r="R89" s="53"/>
    </row>
    <row r="90">
      <c r="A90" s="45">
        <v>45800.0</v>
      </c>
      <c r="B90" s="49" t="s">
        <v>130</v>
      </c>
      <c r="C90" s="32" t="s">
        <v>23</v>
      </c>
      <c r="D90" s="50">
        <v>7.5</v>
      </c>
      <c r="E90" s="49" t="s">
        <v>24</v>
      </c>
      <c r="F90" s="68">
        <v>1.0</v>
      </c>
      <c r="G90" s="69"/>
      <c r="H90" s="52"/>
      <c r="I90" s="1"/>
      <c r="K90" s="53"/>
      <c r="O90" s="54"/>
      <c r="R90" s="53"/>
    </row>
    <row r="91">
      <c r="A91" s="45">
        <v>45800.0</v>
      </c>
      <c r="B91" s="49" t="s">
        <v>47</v>
      </c>
      <c r="C91" s="32" t="s">
        <v>23</v>
      </c>
      <c r="D91" s="50">
        <v>6.5</v>
      </c>
      <c r="E91" s="49" t="s">
        <v>24</v>
      </c>
      <c r="F91" s="68">
        <v>1.0</v>
      </c>
      <c r="G91" s="69"/>
      <c r="H91" s="52"/>
      <c r="I91" s="1"/>
      <c r="K91" s="53"/>
      <c r="O91" s="54"/>
      <c r="R91" s="53"/>
    </row>
    <row r="92">
      <c r="A92" s="45">
        <v>45800.0</v>
      </c>
      <c r="B92" s="49" t="s">
        <v>47</v>
      </c>
      <c r="C92" s="32" t="s">
        <v>23</v>
      </c>
      <c r="D92" s="50">
        <v>6.5</v>
      </c>
      <c r="E92" s="49" t="s">
        <v>24</v>
      </c>
      <c r="F92" s="68">
        <v>1.0</v>
      </c>
      <c r="G92" s="69"/>
      <c r="H92" s="52"/>
      <c r="I92" s="1"/>
      <c r="K92" s="53"/>
      <c r="O92" s="54"/>
      <c r="R92" s="53"/>
    </row>
    <row r="93">
      <c r="A93" s="45">
        <v>45800.0</v>
      </c>
      <c r="B93" s="49" t="s">
        <v>21</v>
      </c>
      <c r="C93" s="32" t="s">
        <v>23</v>
      </c>
      <c r="D93" s="50">
        <v>8.0</v>
      </c>
      <c r="E93" s="49" t="s">
        <v>24</v>
      </c>
      <c r="F93" s="68">
        <v>1.0</v>
      </c>
      <c r="G93" s="69"/>
      <c r="H93" s="52"/>
      <c r="I93" s="1"/>
      <c r="K93" s="53"/>
      <c r="O93" s="54"/>
      <c r="R93" s="53"/>
    </row>
    <row r="94">
      <c r="A94" s="45">
        <v>45800.0</v>
      </c>
      <c r="B94" s="49" t="s">
        <v>21</v>
      </c>
      <c r="C94" s="32" t="s">
        <v>23</v>
      </c>
      <c r="D94" s="50">
        <v>8.0</v>
      </c>
      <c r="E94" s="49" t="s">
        <v>24</v>
      </c>
      <c r="F94" s="68">
        <v>1.0</v>
      </c>
      <c r="G94" s="69"/>
      <c r="H94" s="52"/>
      <c r="I94" s="1"/>
      <c r="K94" s="53"/>
      <c r="O94" s="54"/>
      <c r="R94" s="53"/>
    </row>
    <row r="95">
      <c r="A95" s="45">
        <v>45800.0</v>
      </c>
      <c r="B95" s="49" t="s">
        <v>21</v>
      </c>
      <c r="C95" s="32" t="s">
        <v>23</v>
      </c>
      <c r="D95" s="50">
        <v>8.0</v>
      </c>
      <c r="E95" s="49" t="s">
        <v>24</v>
      </c>
      <c r="F95" s="68">
        <v>1.0</v>
      </c>
      <c r="G95" s="69"/>
      <c r="H95" s="52"/>
      <c r="I95" s="1"/>
      <c r="K95" s="53"/>
      <c r="O95" s="54"/>
      <c r="R95" s="53"/>
    </row>
    <row r="96">
      <c r="A96" s="45">
        <v>45800.0</v>
      </c>
      <c r="B96" s="49" t="s">
        <v>142</v>
      </c>
      <c r="C96" s="32" t="s">
        <v>23</v>
      </c>
      <c r="D96" s="50">
        <v>21.0</v>
      </c>
      <c r="E96" s="49" t="s">
        <v>24</v>
      </c>
      <c r="F96" s="68">
        <v>3.0</v>
      </c>
      <c r="G96" s="69"/>
      <c r="H96" s="52"/>
      <c r="I96" s="1"/>
      <c r="K96" s="53"/>
      <c r="O96" s="54"/>
      <c r="R96" s="53"/>
    </row>
    <row r="97">
      <c r="A97" s="45">
        <v>45800.0</v>
      </c>
      <c r="B97" s="49" t="s">
        <v>143</v>
      </c>
      <c r="C97" s="32" t="s">
        <v>23</v>
      </c>
      <c r="D97" s="50">
        <v>14.5</v>
      </c>
      <c r="E97" s="49" t="s">
        <v>24</v>
      </c>
      <c r="F97" s="68">
        <v>2.0</v>
      </c>
      <c r="G97" s="69"/>
      <c r="H97" s="52"/>
      <c r="I97" s="1"/>
      <c r="K97" s="53"/>
      <c r="O97" s="54"/>
      <c r="R97" s="53"/>
    </row>
    <row r="98">
      <c r="A98" s="45">
        <v>45800.0</v>
      </c>
      <c r="B98" s="49" t="s">
        <v>88</v>
      </c>
      <c r="C98" s="32" t="s">
        <v>23</v>
      </c>
      <c r="D98" s="50">
        <v>65.0</v>
      </c>
      <c r="E98" s="49" t="s">
        <v>24</v>
      </c>
      <c r="F98" s="68">
        <v>10.0</v>
      </c>
      <c r="G98" s="69"/>
      <c r="H98" s="52"/>
      <c r="I98" s="1"/>
      <c r="K98" s="53"/>
      <c r="O98" s="54"/>
      <c r="R98" s="53"/>
    </row>
    <row r="99">
      <c r="A99" s="45">
        <v>45800.0</v>
      </c>
      <c r="B99" s="49" t="s">
        <v>148</v>
      </c>
      <c r="C99" s="32" t="s">
        <v>23</v>
      </c>
      <c r="D99" s="50">
        <v>35.0</v>
      </c>
      <c r="E99" s="49" t="s">
        <v>24</v>
      </c>
      <c r="F99" s="68">
        <v>5.0</v>
      </c>
      <c r="G99" s="69"/>
      <c r="H99" s="52"/>
      <c r="I99" s="1"/>
      <c r="K99" s="53"/>
      <c r="O99" s="54"/>
      <c r="R99" s="53"/>
    </row>
    <row r="100">
      <c r="A100" s="45">
        <v>45800.0</v>
      </c>
      <c r="B100" s="49" t="s">
        <v>54</v>
      </c>
      <c r="C100" s="32" t="s">
        <v>23</v>
      </c>
      <c r="D100" s="50">
        <v>12.0</v>
      </c>
      <c r="E100" s="49" t="s">
        <v>24</v>
      </c>
      <c r="F100" s="68">
        <v>2.0</v>
      </c>
      <c r="G100" s="69"/>
      <c r="H100" s="52"/>
      <c r="I100" s="1"/>
      <c r="K100" s="53"/>
      <c r="O100" s="54"/>
      <c r="R100" s="53"/>
    </row>
    <row r="101">
      <c r="A101" s="45">
        <v>45800.0</v>
      </c>
      <c r="B101" s="49" t="s">
        <v>151</v>
      </c>
      <c r="C101" s="32" t="s">
        <v>23</v>
      </c>
      <c r="D101" s="50">
        <v>325.0</v>
      </c>
      <c r="E101" s="49" t="s">
        <v>24</v>
      </c>
      <c r="F101" s="68">
        <v>50.0</v>
      </c>
      <c r="G101" s="69"/>
      <c r="H101" s="52"/>
      <c r="I101" s="1"/>
      <c r="K101" s="53"/>
      <c r="O101" s="54"/>
      <c r="R101" s="53"/>
    </row>
    <row r="102">
      <c r="A102" s="45">
        <v>45800.0</v>
      </c>
      <c r="B102" s="49" t="s">
        <v>88</v>
      </c>
      <c r="C102" s="32" t="s">
        <v>23</v>
      </c>
      <c r="D102" s="50">
        <v>60.0</v>
      </c>
      <c r="E102" s="49" t="s">
        <v>24</v>
      </c>
      <c r="F102" s="68">
        <v>10.0</v>
      </c>
      <c r="G102" s="69"/>
      <c r="H102" s="52"/>
      <c r="I102" s="1"/>
      <c r="K102" s="53"/>
      <c r="O102" s="54"/>
      <c r="R102" s="53"/>
    </row>
    <row r="103">
      <c r="A103" s="45">
        <v>45800.0</v>
      </c>
      <c r="B103" s="49" t="s">
        <v>153</v>
      </c>
      <c r="C103" s="32" t="s">
        <v>23</v>
      </c>
      <c r="D103" s="50">
        <v>22.0</v>
      </c>
      <c r="E103" s="49" t="s">
        <v>24</v>
      </c>
      <c r="F103" s="68">
        <v>3.0</v>
      </c>
      <c r="G103" s="69"/>
      <c r="H103" s="52"/>
      <c r="I103" s="1"/>
      <c r="K103" s="53"/>
      <c r="O103" s="54"/>
      <c r="R103" s="53"/>
    </row>
    <row r="104">
      <c r="A104" s="45">
        <v>45800.0</v>
      </c>
      <c r="B104" s="49" t="s">
        <v>54</v>
      </c>
      <c r="C104" s="32" t="s">
        <v>23</v>
      </c>
      <c r="D104" s="50">
        <v>13.0</v>
      </c>
      <c r="E104" s="49" t="s">
        <v>24</v>
      </c>
      <c r="F104" s="68">
        <v>2.0</v>
      </c>
      <c r="G104" s="69"/>
      <c r="H104" s="52"/>
      <c r="I104" s="1"/>
      <c r="K104" s="53"/>
      <c r="O104" s="54"/>
      <c r="R104" s="53"/>
    </row>
    <row r="105">
      <c r="A105" s="45">
        <v>45800.0</v>
      </c>
      <c r="B105" s="49" t="s">
        <v>54</v>
      </c>
      <c r="C105" s="32" t="s">
        <v>23</v>
      </c>
      <c r="D105" s="50">
        <v>12.0</v>
      </c>
      <c r="E105" s="49" t="s">
        <v>24</v>
      </c>
      <c r="F105" s="68">
        <v>2.0</v>
      </c>
      <c r="G105" s="69"/>
      <c r="H105" s="52"/>
      <c r="I105" s="1"/>
      <c r="K105" s="53"/>
      <c r="O105" s="54"/>
      <c r="R105" s="53"/>
    </row>
    <row r="106">
      <c r="A106" s="45">
        <v>45800.0</v>
      </c>
      <c r="B106" s="49" t="s">
        <v>47</v>
      </c>
      <c r="C106" s="32" t="s">
        <v>23</v>
      </c>
      <c r="D106" s="50">
        <v>6.5</v>
      </c>
      <c r="E106" s="49" t="s">
        <v>24</v>
      </c>
      <c r="F106" s="68">
        <v>1.0</v>
      </c>
      <c r="G106" s="69"/>
      <c r="H106" s="52"/>
      <c r="I106" s="1"/>
      <c r="K106" s="53"/>
      <c r="O106" s="54"/>
      <c r="R106" s="53"/>
    </row>
    <row r="107">
      <c r="A107" s="45">
        <v>45800.0</v>
      </c>
      <c r="B107" s="49" t="s">
        <v>47</v>
      </c>
      <c r="C107" s="32" t="s">
        <v>23</v>
      </c>
      <c r="D107" s="50">
        <v>6.5</v>
      </c>
      <c r="E107" s="49" t="s">
        <v>24</v>
      </c>
      <c r="F107" s="68">
        <v>1.0</v>
      </c>
      <c r="G107" s="69"/>
      <c r="H107" s="52"/>
      <c r="I107" s="1"/>
      <c r="K107" s="53"/>
      <c r="O107" s="54"/>
      <c r="R107" s="53"/>
    </row>
    <row r="108">
      <c r="A108" s="45">
        <v>45800.0</v>
      </c>
      <c r="B108" s="49" t="s">
        <v>47</v>
      </c>
      <c r="C108" s="32" t="s">
        <v>23</v>
      </c>
      <c r="D108" s="50">
        <v>6.5</v>
      </c>
      <c r="E108" s="49" t="s">
        <v>24</v>
      </c>
      <c r="F108" s="68">
        <v>1.0</v>
      </c>
      <c r="G108" s="69"/>
      <c r="H108" s="52"/>
      <c r="I108" s="1"/>
      <c r="K108" s="53"/>
      <c r="O108" s="54"/>
      <c r="R108" s="53"/>
    </row>
    <row r="109">
      <c r="A109" s="45">
        <v>45800.0</v>
      </c>
      <c r="B109" s="49" t="s">
        <v>47</v>
      </c>
      <c r="C109" s="32" t="s">
        <v>23</v>
      </c>
      <c r="D109" s="50">
        <v>6.5</v>
      </c>
      <c r="E109" s="49" t="s">
        <v>24</v>
      </c>
      <c r="F109" s="68">
        <v>1.0</v>
      </c>
      <c r="G109" s="69"/>
      <c r="H109" s="52"/>
      <c r="I109" s="1"/>
      <c r="K109" s="53"/>
      <c r="O109" s="54"/>
      <c r="R109" s="53"/>
    </row>
    <row r="110">
      <c r="A110" s="45">
        <v>45800.0</v>
      </c>
      <c r="B110" s="49"/>
      <c r="C110" s="32" t="s">
        <v>64</v>
      </c>
      <c r="D110" s="50">
        <v>427.9</v>
      </c>
      <c r="E110" s="49" t="s">
        <v>24</v>
      </c>
      <c r="F110" s="68"/>
      <c r="G110" s="69"/>
      <c r="H110" s="52"/>
      <c r="I110" s="1"/>
      <c r="K110" s="53"/>
      <c r="O110" s="54"/>
      <c r="R110" s="53"/>
    </row>
    <row r="111">
      <c r="A111" s="45">
        <v>45800.0</v>
      </c>
      <c r="B111" s="49" t="s">
        <v>47</v>
      </c>
      <c r="C111" s="32" t="s">
        <v>23</v>
      </c>
      <c r="D111" s="50">
        <v>6.5</v>
      </c>
      <c r="E111" s="49" t="s">
        <v>24</v>
      </c>
      <c r="F111" s="68">
        <v>1.0</v>
      </c>
      <c r="G111" s="69"/>
      <c r="H111" s="52"/>
      <c r="I111" s="1"/>
      <c r="K111" s="53"/>
      <c r="O111" s="54"/>
      <c r="R111" s="53"/>
    </row>
    <row r="112">
      <c r="A112" s="45">
        <v>45800.0</v>
      </c>
      <c r="B112" s="49" t="s">
        <v>54</v>
      </c>
      <c r="C112" s="32" t="s">
        <v>23</v>
      </c>
      <c r="D112" s="50">
        <v>12.0</v>
      </c>
      <c r="E112" s="49" t="s">
        <v>24</v>
      </c>
      <c r="F112" s="68">
        <v>2.0</v>
      </c>
      <c r="G112" s="69"/>
      <c r="H112" s="52"/>
      <c r="I112" s="1"/>
      <c r="K112" s="53"/>
      <c r="O112" s="54"/>
      <c r="R112" s="53"/>
    </row>
    <row r="113">
      <c r="A113" s="45">
        <v>45800.0</v>
      </c>
      <c r="B113" s="49" t="s">
        <v>44</v>
      </c>
      <c r="C113" s="32" t="s">
        <v>23</v>
      </c>
      <c r="D113" s="50">
        <v>7.5</v>
      </c>
      <c r="E113" s="49" t="s">
        <v>24</v>
      </c>
      <c r="F113" s="68">
        <v>1.0</v>
      </c>
      <c r="G113" s="69"/>
      <c r="H113" s="52"/>
      <c r="I113" s="1"/>
      <c r="K113" s="53"/>
      <c r="O113" s="54"/>
      <c r="R113" s="53"/>
    </row>
    <row r="114">
      <c r="A114" s="45">
        <v>45800.0</v>
      </c>
      <c r="B114" s="49" t="s">
        <v>54</v>
      </c>
      <c r="C114" s="32" t="s">
        <v>23</v>
      </c>
      <c r="D114" s="50">
        <v>12.0</v>
      </c>
      <c r="E114" s="49" t="s">
        <v>24</v>
      </c>
      <c r="F114" s="68">
        <v>2.0</v>
      </c>
      <c r="G114" s="69"/>
      <c r="H114" s="52"/>
      <c r="I114" s="1"/>
      <c r="K114" s="53"/>
      <c r="O114" s="54"/>
      <c r="R114" s="53"/>
    </row>
    <row r="115">
      <c r="A115" s="45">
        <v>45800.0</v>
      </c>
      <c r="B115" s="49" t="s">
        <v>54</v>
      </c>
      <c r="C115" s="32" t="s">
        <v>23</v>
      </c>
      <c r="D115" s="50">
        <v>12.0</v>
      </c>
      <c r="E115" s="49" t="s">
        <v>24</v>
      </c>
      <c r="F115" s="68">
        <v>2.0</v>
      </c>
      <c r="G115" s="69"/>
      <c r="H115" s="52"/>
      <c r="I115" s="1"/>
      <c r="K115" s="53"/>
      <c r="O115" s="54"/>
      <c r="R115" s="53"/>
    </row>
    <row r="116">
      <c r="A116" s="45">
        <v>45800.0</v>
      </c>
      <c r="B116" s="49" t="s">
        <v>54</v>
      </c>
      <c r="C116" s="32" t="s">
        <v>23</v>
      </c>
      <c r="D116" s="50">
        <v>12.0</v>
      </c>
      <c r="E116" s="49" t="s">
        <v>24</v>
      </c>
      <c r="F116" s="68">
        <v>2.0</v>
      </c>
      <c r="G116" s="69"/>
      <c r="H116" s="52"/>
      <c r="I116" s="1"/>
      <c r="K116" s="53"/>
      <c r="O116" s="54"/>
      <c r="R116" s="53"/>
    </row>
    <row r="117">
      <c r="A117" s="45">
        <v>45800.0</v>
      </c>
      <c r="B117" s="49" t="s">
        <v>47</v>
      </c>
      <c r="C117" s="32" t="s">
        <v>23</v>
      </c>
      <c r="D117" s="50">
        <v>6.5</v>
      </c>
      <c r="E117" s="49" t="s">
        <v>24</v>
      </c>
      <c r="F117" s="68">
        <v>1.0</v>
      </c>
      <c r="G117" s="69"/>
      <c r="H117" s="52"/>
      <c r="I117" s="1"/>
      <c r="K117" s="53"/>
      <c r="O117" s="54"/>
      <c r="R117" s="53"/>
    </row>
    <row r="118">
      <c r="A118" s="45">
        <v>45800.0</v>
      </c>
      <c r="B118" s="49" t="s">
        <v>163</v>
      </c>
      <c r="C118" s="32" t="s">
        <v>23</v>
      </c>
      <c r="D118" s="50">
        <v>18.0</v>
      </c>
      <c r="E118" s="49" t="s">
        <v>24</v>
      </c>
      <c r="F118" s="68">
        <v>3.0</v>
      </c>
      <c r="G118" s="69"/>
      <c r="H118" s="52"/>
      <c r="I118" s="1"/>
      <c r="K118" s="53"/>
      <c r="O118" s="54"/>
      <c r="R118" s="53"/>
    </row>
    <row r="119">
      <c r="A119" s="45">
        <v>45800.0</v>
      </c>
      <c r="B119" s="49" t="s">
        <v>54</v>
      </c>
      <c r="C119" s="32" t="s">
        <v>23</v>
      </c>
      <c r="D119" s="50">
        <v>12.0</v>
      </c>
      <c r="E119" s="49" t="s">
        <v>24</v>
      </c>
      <c r="F119" s="68">
        <v>2.0</v>
      </c>
      <c r="G119" s="69"/>
      <c r="H119" s="52"/>
      <c r="I119" s="1"/>
      <c r="K119" s="53"/>
      <c r="O119" s="54"/>
      <c r="R119" s="53"/>
    </row>
    <row r="120">
      <c r="A120" s="45">
        <v>45800.0</v>
      </c>
      <c r="B120" s="49" t="s">
        <v>47</v>
      </c>
      <c r="C120" s="32" t="s">
        <v>23</v>
      </c>
      <c r="D120" s="50">
        <v>6.5</v>
      </c>
      <c r="E120" s="49" t="s">
        <v>24</v>
      </c>
      <c r="F120" s="68">
        <v>1.0</v>
      </c>
      <c r="G120" s="69"/>
      <c r="H120" s="52"/>
      <c r="I120" s="1"/>
      <c r="K120" s="53"/>
      <c r="O120" s="54"/>
      <c r="R120" s="53"/>
    </row>
    <row r="121">
      <c r="A121" s="45">
        <v>45800.0</v>
      </c>
      <c r="B121" s="49" t="s">
        <v>47</v>
      </c>
      <c r="C121" s="32" t="s">
        <v>23</v>
      </c>
      <c r="D121" s="50">
        <v>6.5</v>
      </c>
      <c r="E121" s="49" t="s">
        <v>24</v>
      </c>
      <c r="F121" s="68">
        <v>1.0</v>
      </c>
      <c r="G121" s="69"/>
      <c r="H121" s="52"/>
      <c r="I121" s="1"/>
      <c r="K121" s="53"/>
      <c r="O121" s="54"/>
      <c r="R121" s="53"/>
    </row>
    <row r="122">
      <c r="A122" s="45">
        <v>45800.0</v>
      </c>
      <c r="B122" s="49" t="s">
        <v>47</v>
      </c>
      <c r="C122" s="32" t="s">
        <v>23</v>
      </c>
      <c r="D122" s="50">
        <v>6.5</v>
      </c>
      <c r="E122" s="49" t="s">
        <v>24</v>
      </c>
      <c r="F122" s="68">
        <v>1.0</v>
      </c>
      <c r="G122" s="69"/>
      <c r="H122" s="52"/>
      <c r="I122" s="1"/>
      <c r="K122" s="53"/>
      <c r="O122" s="54"/>
      <c r="R122" s="53"/>
    </row>
    <row r="123">
      <c r="A123" s="45">
        <v>45800.0</v>
      </c>
      <c r="B123" s="49" t="s">
        <v>47</v>
      </c>
      <c r="C123" s="32" t="s">
        <v>23</v>
      </c>
      <c r="D123" s="50">
        <v>6.5</v>
      </c>
      <c r="E123" s="49" t="s">
        <v>24</v>
      </c>
      <c r="F123" s="68">
        <v>1.0</v>
      </c>
      <c r="G123" s="69"/>
      <c r="H123" s="52"/>
      <c r="I123" s="1"/>
      <c r="K123" s="53"/>
      <c r="O123" s="54"/>
      <c r="R123" s="53"/>
    </row>
    <row r="124">
      <c r="A124" s="45">
        <v>45800.0</v>
      </c>
      <c r="B124" s="49" t="s">
        <v>85</v>
      </c>
      <c r="C124" s="32" t="s">
        <v>64</v>
      </c>
      <c r="D124" s="50">
        <v>115.06</v>
      </c>
      <c r="E124" s="49" t="s">
        <v>24</v>
      </c>
      <c r="F124" s="68"/>
      <c r="G124" s="69"/>
      <c r="H124" s="52"/>
      <c r="I124" s="1"/>
      <c r="K124" s="53"/>
      <c r="O124" s="54"/>
      <c r="R124" s="53"/>
    </row>
    <row r="125">
      <c r="A125" s="45">
        <v>45800.0</v>
      </c>
      <c r="B125" s="49" t="s">
        <v>168</v>
      </c>
      <c r="C125" s="32" t="s">
        <v>23</v>
      </c>
      <c r="D125" s="50">
        <v>44.5</v>
      </c>
      <c r="E125" s="49" t="s">
        <v>24</v>
      </c>
      <c r="F125" s="68">
        <v>7.0</v>
      </c>
      <c r="G125" s="69"/>
      <c r="H125" s="52"/>
      <c r="I125" s="1"/>
      <c r="K125" s="53"/>
      <c r="O125" s="54"/>
      <c r="R125" s="53"/>
    </row>
    <row r="126">
      <c r="A126" s="45">
        <v>45800.0</v>
      </c>
      <c r="B126" s="49" t="s">
        <v>170</v>
      </c>
      <c r="C126" s="32" t="s">
        <v>23</v>
      </c>
      <c r="D126" s="50">
        <v>20.5</v>
      </c>
      <c r="E126" s="49" t="s">
        <v>24</v>
      </c>
      <c r="F126" s="68">
        <v>3.0</v>
      </c>
      <c r="G126" s="69"/>
      <c r="H126" s="52"/>
      <c r="I126" s="1"/>
      <c r="K126" s="53"/>
      <c r="O126" s="54"/>
      <c r="R126" s="53"/>
    </row>
    <row r="127">
      <c r="A127" s="45">
        <v>45799.0</v>
      </c>
      <c r="B127" s="49" t="s">
        <v>172</v>
      </c>
      <c r="C127" s="32" t="s">
        <v>64</v>
      </c>
      <c r="D127" s="50">
        <v>32.84</v>
      </c>
      <c r="E127" s="49" t="s">
        <v>24</v>
      </c>
      <c r="F127" s="68"/>
      <c r="G127" s="69"/>
      <c r="H127" s="52"/>
      <c r="I127" s="1"/>
      <c r="K127" s="53"/>
      <c r="O127" s="54"/>
      <c r="R127" s="53"/>
    </row>
    <row r="128">
      <c r="A128" s="45">
        <v>45799.0</v>
      </c>
      <c r="B128" s="49" t="s">
        <v>172</v>
      </c>
      <c r="C128" s="32" t="s">
        <v>64</v>
      </c>
      <c r="D128" s="50">
        <v>210.98</v>
      </c>
      <c r="E128" s="49" t="s">
        <v>24</v>
      </c>
      <c r="F128" s="68"/>
      <c r="G128" s="69"/>
      <c r="H128" s="52"/>
      <c r="I128" s="1"/>
      <c r="K128" s="53"/>
      <c r="O128" s="54"/>
      <c r="R128" s="53"/>
    </row>
    <row r="129">
      <c r="A129" s="45">
        <v>45799.0</v>
      </c>
      <c r="B129" s="49" t="s">
        <v>173</v>
      </c>
      <c r="C129" s="32" t="s">
        <v>23</v>
      </c>
      <c r="D129" s="50">
        <v>44.0</v>
      </c>
      <c r="E129" s="49" t="s">
        <v>24</v>
      </c>
      <c r="F129" s="68">
        <v>6.0</v>
      </c>
      <c r="G129" s="69"/>
      <c r="H129" s="52"/>
      <c r="I129" s="1"/>
      <c r="K129" s="53"/>
      <c r="O129" s="54"/>
      <c r="R129" s="53"/>
    </row>
    <row r="130">
      <c r="A130" s="45">
        <v>45799.0</v>
      </c>
      <c r="B130" s="49" t="s">
        <v>175</v>
      </c>
      <c r="C130" s="32" t="s">
        <v>23</v>
      </c>
      <c r="D130" s="50">
        <v>32.0</v>
      </c>
      <c r="E130" s="49" t="s">
        <v>24</v>
      </c>
      <c r="F130" s="68">
        <v>4.0</v>
      </c>
      <c r="G130" s="69"/>
      <c r="H130" s="52"/>
      <c r="I130" s="1"/>
      <c r="K130" s="53"/>
      <c r="O130" s="54"/>
      <c r="R130" s="53"/>
    </row>
    <row r="131">
      <c r="A131" s="45">
        <v>45799.0</v>
      </c>
      <c r="B131" s="49" t="s">
        <v>21</v>
      </c>
      <c r="C131" s="32" t="s">
        <v>23</v>
      </c>
      <c r="D131" s="50">
        <v>8.0</v>
      </c>
      <c r="E131" s="49" t="s">
        <v>24</v>
      </c>
      <c r="F131" s="68">
        <v>1.0</v>
      </c>
      <c r="G131" s="69"/>
      <c r="H131" s="52"/>
      <c r="I131" s="1"/>
      <c r="K131" s="53"/>
      <c r="O131" s="54"/>
      <c r="R131" s="53"/>
    </row>
    <row r="132">
      <c r="A132" s="45">
        <v>45799.0</v>
      </c>
      <c r="B132" s="49" t="s">
        <v>177</v>
      </c>
      <c r="C132" s="32" t="s">
        <v>23</v>
      </c>
      <c r="D132" s="50">
        <v>40.0</v>
      </c>
      <c r="E132" s="49" t="s">
        <v>24</v>
      </c>
      <c r="F132" s="68">
        <v>6.0</v>
      </c>
      <c r="G132" s="69"/>
      <c r="H132" s="52"/>
      <c r="I132" s="1"/>
      <c r="K132" s="53"/>
      <c r="O132" s="54"/>
      <c r="R132" s="53"/>
    </row>
    <row r="133">
      <c r="A133" s="45">
        <v>45799.0</v>
      </c>
      <c r="B133" s="49" t="s">
        <v>21</v>
      </c>
      <c r="C133" s="32" t="s">
        <v>23</v>
      </c>
      <c r="D133" s="50">
        <v>8.0</v>
      </c>
      <c r="E133" s="49" t="s">
        <v>24</v>
      </c>
      <c r="F133" s="68">
        <v>1.0</v>
      </c>
      <c r="G133" s="69"/>
      <c r="H133" s="52"/>
      <c r="I133" s="1"/>
      <c r="K133" s="53"/>
      <c r="O133" s="54"/>
      <c r="R133" s="53"/>
    </row>
    <row r="134">
      <c r="A134" s="45">
        <v>45799.0</v>
      </c>
      <c r="B134" s="49" t="s">
        <v>179</v>
      </c>
      <c r="C134" s="32" t="s">
        <v>23</v>
      </c>
      <c r="D134" s="50">
        <v>48.0</v>
      </c>
      <c r="E134" s="49" t="s">
        <v>24</v>
      </c>
      <c r="F134" s="68">
        <v>8.0</v>
      </c>
      <c r="G134" s="69"/>
      <c r="H134" s="52"/>
      <c r="I134" s="1"/>
      <c r="K134" s="53"/>
      <c r="O134" s="54"/>
      <c r="R134" s="53"/>
    </row>
    <row r="135">
      <c r="A135" s="45">
        <v>45799.0</v>
      </c>
      <c r="B135" s="49" t="s">
        <v>180</v>
      </c>
      <c r="C135" s="32" t="s">
        <v>23</v>
      </c>
      <c r="D135" s="50">
        <v>86.5</v>
      </c>
      <c r="E135" s="49" t="s">
        <v>24</v>
      </c>
      <c r="F135" s="68">
        <v>13.0</v>
      </c>
      <c r="G135" s="69"/>
      <c r="H135" s="52"/>
      <c r="I135" s="1"/>
      <c r="K135" s="53"/>
      <c r="O135" s="54"/>
      <c r="R135" s="53"/>
    </row>
    <row r="136">
      <c r="A136" s="45">
        <v>45799.0</v>
      </c>
      <c r="B136" s="49" t="s">
        <v>182</v>
      </c>
      <c r="C136" s="32" t="s">
        <v>23</v>
      </c>
      <c r="D136" s="50">
        <v>348.0</v>
      </c>
      <c r="E136" s="49" t="s">
        <v>24</v>
      </c>
      <c r="F136" s="68">
        <v>48.0</v>
      </c>
      <c r="G136" s="69"/>
      <c r="H136" s="52"/>
      <c r="I136" s="1"/>
      <c r="K136" s="53"/>
      <c r="O136" s="54"/>
      <c r="R136" s="53"/>
    </row>
    <row r="137">
      <c r="A137" s="45">
        <v>45799.0</v>
      </c>
      <c r="B137" s="49" t="s">
        <v>122</v>
      </c>
      <c r="C137" s="32" t="s">
        <v>23</v>
      </c>
      <c r="D137" s="50">
        <v>21.0</v>
      </c>
      <c r="E137" s="49" t="s">
        <v>24</v>
      </c>
      <c r="F137" s="68">
        <v>3.0</v>
      </c>
      <c r="G137" s="69"/>
      <c r="H137" s="52"/>
      <c r="I137" s="1"/>
      <c r="K137" s="53"/>
      <c r="O137" s="54"/>
      <c r="R137" s="53"/>
    </row>
    <row r="138">
      <c r="A138" s="45">
        <v>45799.0</v>
      </c>
      <c r="B138" s="49" t="s">
        <v>76</v>
      </c>
      <c r="C138" s="32" t="s">
        <v>23</v>
      </c>
      <c r="D138" s="50">
        <v>20.0</v>
      </c>
      <c r="E138" s="49" t="s">
        <v>24</v>
      </c>
      <c r="F138" s="68">
        <v>3.0</v>
      </c>
      <c r="G138" s="69"/>
      <c r="H138" s="52"/>
      <c r="I138" s="1"/>
      <c r="K138" s="53"/>
      <c r="O138" s="54"/>
      <c r="R138" s="53"/>
    </row>
    <row r="139">
      <c r="A139" s="45">
        <v>45799.0</v>
      </c>
      <c r="B139" s="49" t="s">
        <v>183</v>
      </c>
      <c r="C139" s="32" t="s">
        <v>23</v>
      </c>
      <c r="D139" s="50">
        <v>221.0</v>
      </c>
      <c r="E139" s="49" t="s">
        <v>24</v>
      </c>
      <c r="F139" s="68">
        <v>35.0</v>
      </c>
      <c r="G139" s="69"/>
      <c r="H139" s="52"/>
      <c r="I139" s="1"/>
      <c r="K139" s="53"/>
      <c r="O139" s="54"/>
      <c r="R139" s="53"/>
    </row>
    <row r="140">
      <c r="A140" s="45">
        <v>45799.0</v>
      </c>
      <c r="B140" s="49" t="s">
        <v>184</v>
      </c>
      <c r="C140" s="32" t="s">
        <v>23</v>
      </c>
      <c r="D140" s="50">
        <v>65.0</v>
      </c>
      <c r="E140" s="49" t="s">
        <v>24</v>
      </c>
      <c r="F140" s="68">
        <v>10.0</v>
      </c>
      <c r="G140" s="69"/>
      <c r="H140" s="52"/>
      <c r="I140" s="1"/>
      <c r="K140" s="53"/>
      <c r="O140" s="54"/>
      <c r="R140" s="53"/>
    </row>
    <row r="141">
      <c r="A141" s="45">
        <v>45799.0</v>
      </c>
      <c r="B141" s="49" t="s">
        <v>185</v>
      </c>
      <c r="C141" s="32" t="s">
        <v>23</v>
      </c>
      <c r="D141" s="50">
        <v>15.0</v>
      </c>
      <c r="E141" s="49" t="s">
        <v>24</v>
      </c>
      <c r="F141" s="68">
        <v>2.0</v>
      </c>
      <c r="G141" s="69"/>
      <c r="H141" s="52"/>
      <c r="I141" s="1"/>
      <c r="K141" s="53"/>
      <c r="O141" s="54"/>
      <c r="R141" s="53"/>
    </row>
    <row r="142">
      <c r="A142" s="45">
        <v>45799.0</v>
      </c>
      <c r="B142" s="49" t="s">
        <v>76</v>
      </c>
      <c r="C142" s="32" t="s">
        <v>23</v>
      </c>
      <c r="D142" s="50">
        <v>20.0</v>
      </c>
      <c r="E142" s="49" t="s">
        <v>24</v>
      </c>
      <c r="F142" s="68">
        <v>3.0</v>
      </c>
      <c r="G142" s="69"/>
      <c r="H142" s="52"/>
      <c r="I142" s="1"/>
      <c r="K142" s="53"/>
      <c r="O142" s="54"/>
      <c r="R142" s="53"/>
    </row>
    <row r="143">
      <c r="A143" s="45">
        <v>45799.0</v>
      </c>
      <c r="B143" s="49" t="s">
        <v>54</v>
      </c>
      <c r="C143" s="32" t="s">
        <v>23</v>
      </c>
      <c r="D143" s="50">
        <v>12.0</v>
      </c>
      <c r="E143" s="49" t="s">
        <v>24</v>
      </c>
      <c r="F143" s="68">
        <v>2.0</v>
      </c>
      <c r="G143" s="69"/>
      <c r="H143" s="52"/>
      <c r="I143" s="1"/>
      <c r="K143" s="53"/>
      <c r="O143" s="54"/>
      <c r="R143" s="53"/>
    </row>
    <row r="144">
      <c r="A144" s="45">
        <v>45799.0</v>
      </c>
      <c r="B144" s="49" t="s">
        <v>54</v>
      </c>
      <c r="C144" s="32" t="s">
        <v>23</v>
      </c>
      <c r="D144" s="50">
        <v>12.0</v>
      </c>
      <c r="E144" s="49" t="s">
        <v>24</v>
      </c>
      <c r="F144" s="68">
        <v>2.0</v>
      </c>
      <c r="G144" s="69"/>
      <c r="H144" s="52"/>
      <c r="I144" s="1"/>
      <c r="K144" s="53"/>
      <c r="O144" s="54"/>
      <c r="R144" s="53"/>
    </row>
    <row r="145">
      <c r="A145" s="45">
        <v>45799.0</v>
      </c>
      <c r="B145" s="49" t="s">
        <v>189</v>
      </c>
      <c r="C145" s="32" t="s">
        <v>23</v>
      </c>
      <c r="D145" s="50">
        <v>40.0</v>
      </c>
      <c r="E145" s="49" t="s">
        <v>24</v>
      </c>
      <c r="F145" s="68">
        <v>4.0</v>
      </c>
      <c r="G145" s="69"/>
      <c r="H145" s="52"/>
      <c r="I145" s="1"/>
      <c r="K145" s="53"/>
      <c r="O145" s="54"/>
      <c r="R145" s="53"/>
    </row>
    <row r="146">
      <c r="A146" s="45">
        <v>45799.0</v>
      </c>
      <c r="B146" s="49" t="s">
        <v>54</v>
      </c>
      <c r="C146" s="32" t="s">
        <v>23</v>
      </c>
      <c r="D146" s="50">
        <v>12.0</v>
      </c>
      <c r="E146" s="49" t="s">
        <v>24</v>
      </c>
      <c r="F146" s="68">
        <v>2.0</v>
      </c>
      <c r="G146" s="69"/>
      <c r="H146" s="52"/>
      <c r="I146" s="1"/>
      <c r="K146" s="53"/>
      <c r="O146" s="54"/>
      <c r="R146" s="53"/>
    </row>
    <row r="147">
      <c r="A147" s="45">
        <v>45799.0</v>
      </c>
      <c r="B147" s="49" t="s">
        <v>21</v>
      </c>
      <c r="C147" s="32" t="s">
        <v>23</v>
      </c>
      <c r="D147" s="50">
        <v>8.0</v>
      </c>
      <c r="E147" s="49" t="s">
        <v>24</v>
      </c>
      <c r="F147" s="68">
        <v>1.0</v>
      </c>
      <c r="G147" s="69"/>
      <c r="H147" s="52"/>
      <c r="I147" s="1"/>
      <c r="K147" s="53"/>
      <c r="O147" s="54"/>
      <c r="R147" s="53"/>
    </row>
    <row r="148">
      <c r="A148" s="45">
        <v>45799.0</v>
      </c>
      <c r="B148" s="49" t="s">
        <v>54</v>
      </c>
      <c r="C148" s="32" t="s">
        <v>23</v>
      </c>
      <c r="D148" s="50">
        <v>6.5</v>
      </c>
      <c r="E148" s="49" t="s">
        <v>24</v>
      </c>
      <c r="F148" s="68">
        <v>1.0</v>
      </c>
      <c r="G148" s="69"/>
      <c r="H148" s="52"/>
      <c r="I148" s="1"/>
      <c r="K148" s="53"/>
      <c r="O148" s="54"/>
      <c r="R148" s="53"/>
    </row>
    <row r="149">
      <c r="A149" s="45">
        <v>45799.0</v>
      </c>
      <c r="B149" s="49" t="s">
        <v>44</v>
      </c>
      <c r="C149" s="32" t="s">
        <v>23</v>
      </c>
      <c r="D149" s="50">
        <v>7.5</v>
      </c>
      <c r="E149" s="49" t="s">
        <v>24</v>
      </c>
      <c r="F149" s="68">
        <v>1.0</v>
      </c>
      <c r="G149" s="69"/>
      <c r="H149" s="52"/>
      <c r="I149" s="1"/>
      <c r="K149" s="53"/>
      <c r="O149" s="54"/>
      <c r="R149" s="53"/>
    </row>
    <row r="150">
      <c r="A150" s="45">
        <v>45799.0</v>
      </c>
      <c r="B150" s="49" t="s">
        <v>54</v>
      </c>
      <c r="C150" s="32" t="s">
        <v>23</v>
      </c>
      <c r="D150" s="50">
        <v>12.0</v>
      </c>
      <c r="E150" s="49" t="s">
        <v>24</v>
      </c>
      <c r="F150" s="68">
        <v>2.0</v>
      </c>
      <c r="G150" s="69"/>
      <c r="H150" s="52"/>
      <c r="I150" s="1"/>
      <c r="K150" s="53"/>
      <c r="O150" s="54"/>
      <c r="R150" s="53"/>
    </row>
    <row r="151">
      <c r="A151" s="45">
        <v>45799.0</v>
      </c>
      <c r="B151" s="49" t="s">
        <v>21</v>
      </c>
      <c r="C151" s="32" t="s">
        <v>23</v>
      </c>
      <c r="D151" s="50">
        <v>8.0</v>
      </c>
      <c r="E151" s="49" t="s">
        <v>24</v>
      </c>
      <c r="F151" s="68">
        <v>1.0</v>
      </c>
      <c r="G151" s="69"/>
      <c r="H151" s="52"/>
      <c r="I151" s="1"/>
      <c r="K151" s="53"/>
      <c r="O151" s="54"/>
      <c r="R151" s="53"/>
    </row>
    <row r="152">
      <c r="A152" s="45">
        <v>45799.0</v>
      </c>
      <c r="B152" s="49" t="s">
        <v>44</v>
      </c>
      <c r="C152" s="32" t="s">
        <v>23</v>
      </c>
      <c r="D152" s="50">
        <v>7.5</v>
      </c>
      <c r="E152" s="49" t="s">
        <v>24</v>
      </c>
      <c r="F152" s="68">
        <v>1.0</v>
      </c>
      <c r="G152" s="69"/>
      <c r="H152" s="52"/>
      <c r="I152" s="1"/>
      <c r="K152" s="53"/>
      <c r="O152" s="54"/>
      <c r="R152" s="53"/>
    </row>
    <row r="153">
      <c r="A153" s="45">
        <v>45799.0</v>
      </c>
      <c r="B153" s="49" t="s">
        <v>194</v>
      </c>
      <c r="C153" s="32" t="s">
        <v>23</v>
      </c>
      <c r="D153" s="50">
        <v>6.5</v>
      </c>
      <c r="E153" s="49" t="s">
        <v>24</v>
      </c>
      <c r="F153" s="68">
        <v>1.0</v>
      </c>
      <c r="G153" s="69"/>
      <c r="H153" s="52"/>
      <c r="I153" s="1"/>
      <c r="K153" s="53"/>
      <c r="O153" s="54"/>
      <c r="R153" s="53"/>
    </row>
    <row r="154">
      <c r="A154" s="45">
        <v>45799.0</v>
      </c>
      <c r="B154" s="49" t="s">
        <v>195</v>
      </c>
      <c r="C154" s="32" t="s">
        <v>23</v>
      </c>
      <c r="D154" s="50">
        <v>38.5</v>
      </c>
      <c r="E154" s="49" t="s">
        <v>24</v>
      </c>
      <c r="F154" s="68">
        <v>4.0</v>
      </c>
      <c r="G154" s="69"/>
      <c r="H154" s="52"/>
      <c r="I154" s="1"/>
      <c r="K154" s="53"/>
      <c r="O154" s="54"/>
      <c r="R154" s="53"/>
    </row>
    <row r="155">
      <c r="A155" s="45">
        <v>45799.0</v>
      </c>
      <c r="B155" s="49" t="s">
        <v>197</v>
      </c>
      <c r="C155" s="32" t="s">
        <v>23</v>
      </c>
      <c r="D155" s="50">
        <v>1.5</v>
      </c>
      <c r="E155" s="49" t="s">
        <v>24</v>
      </c>
      <c r="F155" s="68"/>
      <c r="G155" s="69"/>
      <c r="H155" s="52"/>
      <c r="I155" s="1"/>
      <c r="K155" s="53"/>
      <c r="O155" s="54"/>
      <c r="R155" s="53"/>
    </row>
    <row r="156">
      <c r="A156" s="45">
        <v>45799.0</v>
      </c>
      <c r="B156" s="49" t="s">
        <v>198</v>
      </c>
      <c r="C156" s="32" t="s">
        <v>23</v>
      </c>
      <c r="D156" s="50">
        <v>18.0</v>
      </c>
      <c r="E156" s="49" t="s">
        <v>24</v>
      </c>
      <c r="F156" s="68">
        <v>3.0</v>
      </c>
      <c r="G156" s="69"/>
      <c r="H156" s="52"/>
      <c r="I156" s="1"/>
      <c r="K156" s="53"/>
      <c r="O156" s="54"/>
      <c r="R156" s="53"/>
    </row>
    <row r="157">
      <c r="A157" s="45">
        <v>45799.0</v>
      </c>
      <c r="B157" s="49" t="s">
        <v>198</v>
      </c>
      <c r="C157" s="32" t="s">
        <v>23</v>
      </c>
      <c r="D157" s="50">
        <v>18.0</v>
      </c>
      <c r="E157" s="49" t="s">
        <v>24</v>
      </c>
      <c r="F157" s="68">
        <v>3.0</v>
      </c>
      <c r="G157" s="69"/>
      <c r="H157" s="52"/>
      <c r="I157" s="1"/>
      <c r="K157" s="53"/>
      <c r="O157" s="54"/>
      <c r="R157" s="53"/>
    </row>
    <row r="158">
      <c r="A158" s="45">
        <v>45799.0</v>
      </c>
      <c r="B158" s="49" t="s">
        <v>76</v>
      </c>
      <c r="C158" s="32" t="s">
        <v>23</v>
      </c>
      <c r="D158" s="50">
        <v>20.0</v>
      </c>
      <c r="E158" s="49" t="s">
        <v>24</v>
      </c>
      <c r="F158" s="68">
        <v>3.0</v>
      </c>
      <c r="G158" s="69"/>
      <c r="H158" s="52"/>
      <c r="I158" s="1"/>
      <c r="K158" s="53"/>
      <c r="O158" s="54"/>
      <c r="R158" s="53"/>
    </row>
    <row r="159">
      <c r="A159" s="45">
        <v>45799.0</v>
      </c>
      <c r="B159" s="49" t="s">
        <v>44</v>
      </c>
      <c r="C159" s="32" t="s">
        <v>23</v>
      </c>
      <c r="D159" s="50">
        <v>7.5</v>
      </c>
      <c r="E159" s="49" t="s">
        <v>24</v>
      </c>
      <c r="F159" s="68">
        <v>1.0</v>
      </c>
      <c r="G159" s="69"/>
      <c r="H159" s="52"/>
      <c r="I159" s="1"/>
      <c r="K159" s="53"/>
      <c r="O159" s="54"/>
      <c r="R159" s="53"/>
    </row>
    <row r="160">
      <c r="A160" s="45">
        <v>45799.0</v>
      </c>
      <c r="B160" s="49" t="s">
        <v>54</v>
      </c>
      <c r="C160" s="32" t="s">
        <v>23</v>
      </c>
      <c r="D160" s="50">
        <v>12.0</v>
      </c>
      <c r="E160" s="49" t="s">
        <v>24</v>
      </c>
      <c r="F160" s="68">
        <v>2.0</v>
      </c>
      <c r="G160" s="69"/>
      <c r="H160" s="52"/>
      <c r="I160" s="1"/>
      <c r="K160" s="53"/>
      <c r="O160" s="54"/>
      <c r="R160" s="53"/>
    </row>
    <row r="161">
      <c r="A161" s="45">
        <v>45799.0</v>
      </c>
      <c r="B161" s="49" t="s">
        <v>110</v>
      </c>
      <c r="C161" s="32" t="s">
        <v>23</v>
      </c>
      <c r="D161" s="50">
        <v>24.0</v>
      </c>
      <c r="E161" s="49" t="s">
        <v>24</v>
      </c>
      <c r="F161" s="68">
        <v>4.0</v>
      </c>
      <c r="G161" s="69"/>
      <c r="H161" s="52"/>
      <c r="I161" s="1"/>
      <c r="K161" s="53"/>
      <c r="O161" s="54"/>
      <c r="R161" s="53"/>
    </row>
    <row r="162">
      <c r="A162" s="45">
        <v>45799.0</v>
      </c>
      <c r="B162" s="49" t="s">
        <v>54</v>
      </c>
      <c r="C162" s="32" t="s">
        <v>23</v>
      </c>
      <c r="D162" s="50">
        <v>12.0</v>
      </c>
      <c r="E162" s="49" t="s">
        <v>24</v>
      </c>
      <c r="F162" s="68">
        <v>2.0</v>
      </c>
      <c r="G162" s="69"/>
      <c r="H162" s="52"/>
      <c r="I162" s="1"/>
      <c r="K162" s="53"/>
      <c r="O162" s="54"/>
      <c r="R162" s="53"/>
    </row>
    <row r="163">
      <c r="A163" s="45">
        <v>45799.0</v>
      </c>
      <c r="B163" s="49" t="s">
        <v>54</v>
      </c>
      <c r="C163" s="32" t="s">
        <v>23</v>
      </c>
      <c r="D163" s="50">
        <v>12.0</v>
      </c>
      <c r="E163" s="49" t="s">
        <v>24</v>
      </c>
      <c r="F163" s="68">
        <v>2.0</v>
      </c>
      <c r="G163" s="69"/>
      <c r="H163" s="52"/>
      <c r="I163" s="1"/>
      <c r="K163" s="53"/>
      <c r="O163" s="54"/>
      <c r="R163" s="53"/>
    </row>
    <row r="164">
      <c r="A164" s="45">
        <v>45799.0</v>
      </c>
      <c r="B164" s="49" t="s">
        <v>21</v>
      </c>
      <c r="C164" s="32" t="s">
        <v>23</v>
      </c>
      <c r="D164" s="50">
        <v>8.0</v>
      </c>
      <c r="E164" s="49" t="s">
        <v>24</v>
      </c>
      <c r="F164" s="68">
        <v>1.0</v>
      </c>
      <c r="G164" s="69"/>
      <c r="H164" s="52"/>
      <c r="I164" s="1"/>
      <c r="K164" s="53"/>
      <c r="O164" s="54"/>
      <c r="R164" s="53"/>
    </row>
    <row r="165">
      <c r="A165" s="45">
        <v>45799.0</v>
      </c>
      <c r="B165" s="49" t="s">
        <v>21</v>
      </c>
      <c r="C165" s="32" t="s">
        <v>23</v>
      </c>
      <c r="D165" s="50">
        <v>8.0</v>
      </c>
      <c r="E165" s="49" t="s">
        <v>24</v>
      </c>
      <c r="F165" s="68">
        <v>1.0</v>
      </c>
      <c r="G165" s="69"/>
      <c r="H165" s="52"/>
      <c r="I165" s="1"/>
      <c r="K165" s="53"/>
      <c r="O165" s="54"/>
      <c r="R165" s="53"/>
    </row>
    <row r="166">
      <c r="A166" s="45">
        <v>45799.0</v>
      </c>
      <c r="B166" s="49" t="s">
        <v>54</v>
      </c>
      <c r="C166" s="32" t="s">
        <v>23</v>
      </c>
      <c r="D166" s="50">
        <v>12.0</v>
      </c>
      <c r="E166" s="49" t="s">
        <v>24</v>
      </c>
      <c r="F166" s="68">
        <v>2.0</v>
      </c>
      <c r="G166" s="69"/>
      <c r="H166" s="52"/>
      <c r="I166" s="1"/>
      <c r="K166" s="53"/>
      <c r="O166" s="54"/>
      <c r="R166" s="53"/>
    </row>
    <row r="167">
      <c r="A167" s="45">
        <v>45799.0</v>
      </c>
      <c r="B167" s="49" t="s">
        <v>194</v>
      </c>
      <c r="C167" s="32" t="s">
        <v>23</v>
      </c>
      <c r="D167" s="50">
        <v>6.5</v>
      </c>
      <c r="E167" s="49" t="s">
        <v>24</v>
      </c>
      <c r="F167" s="68">
        <v>1.0</v>
      </c>
      <c r="G167" s="69"/>
      <c r="H167" s="52"/>
      <c r="I167" s="1"/>
      <c r="K167" s="53"/>
      <c r="O167" s="54"/>
      <c r="R167" s="53"/>
    </row>
    <row r="168">
      <c r="A168" s="45">
        <v>45799.0</v>
      </c>
      <c r="B168" s="49" t="s">
        <v>76</v>
      </c>
      <c r="C168" s="32" t="s">
        <v>23</v>
      </c>
      <c r="D168" s="50">
        <v>20.0</v>
      </c>
      <c r="E168" s="49" t="s">
        <v>24</v>
      </c>
      <c r="F168" s="68">
        <v>3.0</v>
      </c>
      <c r="G168" s="69"/>
      <c r="H168" s="52"/>
      <c r="I168" s="1"/>
      <c r="K168" s="53"/>
      <c r="O168" s="54"/>
      <c r="R168" s="53"/>
    </row>
    <row r="169">
      <c r="A169" s="45">
        <v>45799.0</v>
      </c>
      <c r="B169" s="49" t="s">
        <v>194</v>
      </c>
      <c r="C169" s="32" t="s">
        <v>23</v>
      </c>
      <c r="D169" s="50">
        <v>6.5</v>
      </c>
      <c r="E169" s="49" t="s">
        <v>24</v>
      </c>
      <c r="F169" s="68">
        <v>1.0</v>
      </c>
      <c r="G169" s="69"/>
      <c r="H169" s="52"/>
      <c r="I169" s="1"/>
      <c r="K169" s="53"/>
      <c r="O169" s="54"/>
      <c r="R169" s="53"/>
    </row>
    <row r="170">
      <c r="A170" s="45">
        <v>45799.0</v>
      </c>
      <c r="B170" s="49" t="s">
        <v>54</v>
      </c>
      <c r="C170" s="32" t="s">
        <v>23</v>
      </c>
      <c r="D170" s="50">
        <v>10.0</v>
      </c>
      <c r="E170" s="49" t="s">
        <v>24</v>
      </c>
      <c r="F170" s="68">
        <v>1.0</v>
      </c>
      <c r="G170" s="69"/>
      <c r="H170" s="52"/>
      <c r="I170" s="1"/>
      <c r="K170" s="53"/>
      <c r="O170" s="54"/>
      <c r="R170" s="53"/>
    </row>
    <row r="171">
      <c r="A171" s="45">
        <v>45799.0</v>
      </c>
      <c r="B171" s="49" t="s">
        <v>194</v>
      </c>
      <c r="C171" s="32" t="s">
        <v>23</v>
      </c>
      <c r="D171" s="50">
        <v>6.5</v>
      </c>
      <c r="E171" s="49" t="s">
        <v>24</v>
      </c>
      <c r="F171" s="68">
        <v>1.0</v>
      </c>
      <c r="G171" s="69"/>
      <c r="H171" s="52"/>
      <c r="I171" s="1"/>
      <c r="K171" s="53"/>
      <c r="O171" s="54"/>
      <c r="R171" s="53"/>
    </row>
    <row r="172">
      <c r="A172" s="45">
        <v>45799.0</v>
      </c>
      <c r="B172" s="49" t="s">
        <v>21</v>
      </c>
      <c r="C172" s="32" t="s">
        <v>23</v>
      </c>
      <c r="D172" s="50">
        <v>8.0</v>
      </c>
      <c r="E172" s="49" t="s">
        <v>24</v>
      </c>
      <c r="F172" s="68">
        <v>1.0</v>
      </c>
      <c r="G172" s="69"/>
      <c r="H172" s="52"/>
      <c r="I172" s="1"/>
      <c r="K172" s="53"/>
      <c r="O172" s="54"/>
      <c r="R172" s="53"/>
    </row>
    <row r="173">
      <c r="A173" s="45">
        <v>45799.0</v>
      </c>
      <c r="B173" s="49" t="s">
        <v>194</v>
      </c>
      <c r="C173" s="32" t="s">
        <v>23</v>
      </c>
      <c r="D173" s="50">
        <v>6.5</v>
      </c>
      <c r="E173" s="49" t="s">
        <v>24</v>
      </c>
      <c r="F173" s="68">
        <v>1.0</v>
      </c>
      <c r="G173" s="69"/>
      <c r="H173" s="52"/>
      <c r="I173" s="1"/>
      <c r="K173" s="53"/>
      <c r="O173" s="54"/>
      <c r="R173" s="53"/>
    </row>
    <row r="174">
      <c r="A174" s="45">
        <v>45799.0</v>
      </c>
      <c r="B174" s="49" t="s">
        <v>216</v>
      </c>
      <c r="C174" s="32" t="s">
        <v>23</v>
      </c>
      <c r="D174" s="50">
        <v>8.0</v>
      </c>
      <c r="E174" s="49" t="s">
        <v>24</v>
      </c>
      <c r="F174" s="68">
        <v>1.0</v>
      </c>
      <c r="G174" s="69"/>
      <c r="H174" s="52"/>
      <c r="I174" s="1"/>
      <c r="K174" s="53"/>
      <c r="O174" s="54"/>
      <c r="R174" s="53"/>
    </row>
    <row r="175">
      <c r="A175" s="45">
        <v>45799.0</v>
      </c>
      <c r="B175" s="49" t="s">
        <v>217</v>
      </c>
      <c r="C175" s="32" t="s">
        <v>23</v>
      </c>
      <c r="D175" s="50">
        <v>14.5</v>
      </c>
      <c r="E175" s="49" t="s">
        <v>24</v>
      </c>
      <c r="F175" s="68">
        <v>2.0</v>
      </c>
      <c r="G175" s="69"/>
      <c r="H175" s="52"/>
      <c r="I175" s="1"/>
      <c r="K175" s="53"/>
      <c r="O175" s="54"/>
      <c r="R175" s="53"/>
    </row>
    <row r="176">
      <c r="A176" s="45">
        <v>45799.0</v>
      </c>
      <c r="B176" s="49" t="s">
        <v>220</v>
      </c>
      <c r="C176" s="32" t="s">
        <v>23</v>
      </c>
      <c r="D176" s="50">
        <v>15.5</v>
      </c>
      <c r="E176" s="49" t="s">
        <v>24</v>
      </c>
      <c r="F176" s="68">
        <v>2.0</v>
      </c>
      <c r="G176" s="69"/>
      <c r="H176" s="52"/>
      <c r="I176" s="1"/>
      <c r="K176" s="53"/>
      <c r="O176" s="54"/>
      <c r="R176" s="53"/>
    </row>
    <row r="177">
      <c r="A177" s="45">
        <v>45799.0</v>
      </c>
      <c r="B177" s="49" t="s">
        <v>21</v>
      </c>
      <c r="C177" s="32" t="s">
        <v>23</v>
      </c>
      <c r="D177" s="50">
        <v>8.0</v>
      </c>
      <c r="E177" s="49" t="s">
        <v>24</v>
      </c>
      <c r="F177" s="68">
        <v>1.0</v>
      </c>
      <c r="G177" s="69"/>
      <c r="H177" s="52"/>
      <c r="I177" s="1"/>
      <c r="K177" s="53"/>
      <c r="O177" s="54"/>
      <c r="R177" s="53"/>
    </row>
    <row r="178">
      <c r="A178" s="45">
        <v>45799.0</v>
      </c>
      <c r="B178" s="49" t="s">
        <v>21</v>
      </c>
      <c r="C178" s="32" t="s">
        <v>23</v>
      </c>
      <c r="D178" s="50">
        <v>8.0</v>
      </c>
      <c r="E178" s="49" t="s">
        <v>24</v>
      </c>
      <c r="F178" s="68">
        <v>1.0</v>
      </c>
      <c r="G178" s="69"/>
      <c r="H178" s="52"/>
      <c r="I178" s="1"/>
      <c r="K178" s="53"/>
      <c r="O178" s="54"/>
      <c r="R178" s="53"/>
    </row>
    <row r="179">
      <c r="A179" s="45">
        <v>45799.0</v>
      </c>
      <c r="B179" s="49" t="s">
        <v>143</v>
      </c>
      <c r="C179" s="32" t="s">
        <v>23</v>
      </c>
      <c r="D179" s="50">
        <v>14.5</v>
      </c>
      <c r="E179" s="49" t="s">
        <v>24</v>
      </c>
      <c r="F179" s="68">
        <v>2.0</v>
      </c>
      <c r="G179" s="69"/>
      <c r="H179" s="52"/>
      <c r="I179" s="1"/>
      <c r="K179" s="53"/>
      <c r="O179" s="54"/>
      <c r="R179" s="53"/>
    </row>
    <row r="180">
      <c r="A180" s="45">
        <v>45799.0</v>
      </c>
      <c r="B180" s="49" t="s">
        <v>225</v>
      </c>
      <c r="C180" s="32" t="s">
        <v>23</v>
      </c>
      <c r="D180" s="50">
        <v>26.0</v>
      </c>
      <c r="E180" s="49" t="s">
        <v>24</v>
      </c>
      <c r="F180" s="68">
        <v>4.0</v>
      </c>
      <c r="G180" s="69"/>
      <c r="H180" s="52"/>
      <c r="I180" s="1"/>
      <c r="K180" s="53"/>
      <c r="O180" s="54"/>
      <c r="R180" s="53"/>
    </row>
    <row r="181">
      <c r="A181" s="45">
        <v>45799.0</v>
      </c>
      <c r="B181" s="49" t="s">
        <v>21</v>
      </c>
      <c r="C181" s="32" t="s">
        <v>23</v>
      </c>
      <c r="D181" s="50">
        <v>8.0</v>
      </c>
      <c r="E181" s="49" t="s">
        <v>24</v>
      </c>
      <c r="F181" s="68">
        <v>1.0</v>
      </c>
      <c r="G181" s="69"/>
      <c r="H181" s="52"/>
      <c r="I181" s="1"/>
      <c r="K181" s="53"/>
      <c r="O181" s="54"/>
      <c r="R181" s="53"/>
    </row>
    <row r="182">
      <c r="A182" s="45">
        <v>45799.0</v>
      </c>
      <c r="B182" s="49" t="s">
        <v>54</v>
      </c>
      <c r="C182" s="32" t="s">
        <v>23</v>
      </c>
      <c r="D182" s="50">
        <v>12.0</v>
      </c>
      <c r="E182" s="49" t="s">
        <v>24</v>
      </c>
      <c r="F182" s="68">
        <v>2.0</v>
      </c>
      <c r="G182" s="69"/>
      <c r="H182" s="52"/>
      <c r="I182" s="1"/>
      <c r="K182" s="53"/>
      <c r="O182" s="54"/>
      <c r="R182" s="53"/>
    </row>
    <row r="183">
      <c r="A183" s="45">
        <v>45799.0</v>
      </c>
      <c r="B183" s="49" t="s">
        <v>74</v>
      </c>
      <c r="C183" s="32" t="s">
        <v>23</v>
      </c>
      <c r="D183" s="50">
        <v>16.0</v>
      </c>
      <c r="E183" s="49" t="s">
        <v>24</v>
      </c>
      <c r="F183" s="68">
        <v>2.0</v>
      </c>
      <c r="G183" s="69"/>
      <c r="H183" s="52"/>
      <c r="I183" s="1"/>
      <c r="K183" s="53"/>
      <c r="O183" s="54"/>
      <c r="R183" s="53"/>
    </row>
    <row r="184">
      <c r="A184" s="45">
        <v>45799.0</v>
      </c>
      <c r="B184" s="49" t="s">
        <v>234</v>
      </c>
      <c r="C184" s="32" t="s">
        <v>23</v>
      </c>
      <c r="D184" s="50">
        <v>65.0</v>
      </c>
      <c r="E184" s="49" t="s">
        <v>24</v>
      </c>
      <c r="F184" s="68">
        <v>10.0</v>
      </c>
      <c r="G184" s="69"/>
      <c r="H184" s="52"/>
      <c r="I184" s="1"/>
      <c r="K184" s="53"/>
      <c r="O184" s="54"/>
      <c r="R184" s="53"/>
    </row>
    <row r="185">
      <c r="A185" s="45">
        <v>45799.0</v>
      </c>
      <c r="B185" s="49" t="s">
        <v>21</v>
      </c>
      <c r="C185" s="32" t="s">
        <v>23</v>
      </c>
      <c r="D185" s="50">
        <v>8.0</v>
      </c>
      <c r="E185" s="49" t="s">
        <v>24</v>
      </c>
      <c r="F185" s="68">
        <v>1.0</v>
      </c>
      <c r="G185" s="69"/>
      <c r="H185" s="52"/>
      <c r="I185" s="1"/>
      <c r="K185" s="53"/>
      <c r="O185" s="54"/>
      <c r="R185" s="53"/>
    </row>
    <row r="186">
      <c r="A186" s="45">
        <v>45799.0</v>
      </c>
      <c r="B186" s="49" t="s">
        <v>49</v>
      </c>
      <c r="C186" s="32" t="s">
        <v>23</v>
      </c>
      <c r="D186" s="50">
        <v>36.0</v>
      </c>
      <c r="E186" s="49" t="s">
        <v>24</v>
      </c>
      <c r="F186" s="68">
        <v>6.0</v>
      </c>
      <c r="G186" s="69"/>
      <c r="H186" s="52"/>
      <c r="I186" s="1"/>
      <c r="K186" s="53"/>
      <c r="O186" s="54"/>
      <c r="R186" s="53"/>
    </row>
    <row r="187">
      <c r="A187" s="45">
        <v>45799.0</v>
      </c>
      <c r="B187" s="49" t="s">
        <v>225</v>
      </c>
      <c r="C187" s="32" t="s">
        <v>23</v>
      </c>
      <c r="D187" s="50">
        <v>26.0</v>
      </c>
      <c r="E187" s="49" t="s">
        <v>24</v>
      </c>
      <c r="F187" s="68">
        <v>4.0</v>
      </c>
      <c r="G187" s="69"/>
      <c r="H187" s="52"/>
      <c r="I187" s="1"/>
      <c r="K187" s="53"/>
      <c r="O187" s="54"/>
      <c r="R187" s="53"/>
    </row>
    <row r="188">
      <c r="A188" s="45"/>
      <c r="B188" s="49" t="s">
        <v>239</v>
      </c>
      <c r="C188" s="32" t="s">
        <v>64</v>
      </c>
      <c r="D188" s="50">
        <v>362.56</v>
      </c>
      <c r="E188" s="49" t="s">
        <v>24</v>
      </c>
      <c r="F188" s="68"/>
      <c r="G188" s="69"/>
      <c r="H188" s="52"/>
      <c r="I188" s="1"/>
      <c r="K188" s="53"/>
      <c r="O188" s="54"/>
      <c r="R188" s="53"/>
    </row>
    <row r="189">
      <c r="A189" s="45">
        <v>45799.0</v>
      </c>
      <c r="B189" s="49" t="s">
        <v>240</v>
      </c>
      <c r="C189" s="32" t="s">
        <v>23</v>
      </c>
      <c r="D189" s="50">
        <v>44.5</v>
      </c>
      <c r="E189" s="49" t="s">
        <v>24</v>
      </c>
      <c r="F189" s="68">
        <v>7.0</v>
      </c>
      <c r="G189" s="69"/>
      <c r="H189" s="52"/>
      <c r="I189" s="1"/>
      <c r="K189" s="53"/>
      <c r="O189" s="54"/>
      <c r="R189" s="53"/>
    </row>
    <row r="190">
      <c r="A190" s="45">
        <v>45799.0</v>
      </c>
      <c r="B190" s="49" t="s">
        <v>244</v>
      </c>
      <c r="C190" s="32" t="s">
        <v>23</v>
      </c>
      <c r="D190" s="50">
        <v>60.0</v>
      </c>
      <c r="E190" s="49" t="s">
        <v>24</v>
      </c>
      <c r="F190" s="68">
        <v>10.0</v>
      </c>
      <c r="G190" s="69"/>
      <c r="H190" s="52"/>
      <c r="I190" s="1"/>
      <c r="K190" s="53"/>
      <c r="O190" s="54"/>
      <c r="R190" s="53"/>
    </row>
    <row r="191">
      <c r="A191" s="45">
        <v>45799.0</v>
      </c>
      <c r="B191" s="49" t="s">
        <v>49</v>
      </c>
      <c r="C191" s="32" t="s">
        <v>23</v>
      </c>
      <c r="D191" s="50">
        <v>36.0</v>
      </c>
      <c r="E191" s="49" t="s">
        <v>24</v>
      </c>
      <c r="F191" s="68">
        <v>6.0</v>
      </c>
      <c r="G191" s="69"/>
      <c r="H191" s="52"/>
      <c r="I191" s="1"/>
      <c r="K191" s="53"/>
      <c r="O191" s="54"/>
      <c r="R191" s="53"/>
    </row>
    <row r="192">
      <c r="A192" s="45">
        <v>45799.0</v>
      </c>
      <c r="B192" s="49" t="s">
        <v>122</v>
      </c>
      <c r="C192" s="32" t="s">
        <v>23</v>
      </c>
      <c r="D192" s="50">
        <v>18.0</v>
      </c>
      <c r="E192" s="49" t="s">
        <v>24</v>
      </c>
      <c r="F192" s="68">
        <v>3.0</v>
      </c>
      <c r="G192" s="69"/>
      <c r="H192" s="52"/>
      <c r="I192" s="1"/>
      <c r="K192" s="53"/>
      <c r="O192" s="54"/>
      <c r="R192" s="53"/>
    </row>
    <row r="193">
      <c r="A193" s="45">
        <v>45799.0</v>
      </c>
      <c r="B193" s="49" t="s">
        <v>251</v>
      </c>
      <c r="C193" s="32" t="s">
        <v>23</v>
      </c>
      <c r="D193" s="50">
        <v>52.5</v>
      </c>
      <c r="E193" s="49" t="s">
        <v>24</v>
      </c>
      <c r="F193" s="68">
        <v>8.0</v>
      </c>
      <c r="G193" s="69"/>
      <c r="H193" s="52"/>
      <c r="I193" s="1"/>
      <c r="K193" s="53"/>
      <c r="O193" s="54"/>
      <c r="R193" s="53"/>
    </row>
    <row r="194">
      <c r="A194" s="45">
        <v>45799.0</v>
      </c>
      <c r="B194" s="49" t="s">
        <v>252</v>
      </c>
      <c r="C194" s="32" t="s">
        <v>23</v>
      </c>
      <c r="D194" s="50">
        <v>60.0</v>
      </c>
      <c r="E194" s="49" t="s">
        <v>24</v>
      </c>
      <c r="F194" s="68">
        <v>10.0</v>
      </c>
      <c r="G194" s="69"/>
      <c r="H194" s="52"/>
      <c r="I194" s="1"/>
      <c r="K194" s="53"/>
      <c r="O194" s="54"/>
      <c r="R194" s="53"/>
    </row>
    <row r="195">
      <c r="A195" s="45">
        <v>45799.0</v>
      </c>
      <c r="B195" s="49" t="s">
        <v>52</v>
      </c>
      <c r="C195" s="32" t="s">
        <v>23</v>
      </c>
      <c r="D195" s="50">
        <v>35.0</v>
      </c>
      <c r="E195" s="49" t="s">
        <v>24</v>
      </c>
      <c r="F195" s="68">
        <v>5.0</v>
      </c>
      <c r="G195" s="69"/>
      <c r="H195" s="52"/>
      <c r="I195" s="1"/>
      <c r="K195" s="53"/>
      <c r="O195" s="54"/>
      <c r="R195" s="53"/>
    </row>
    <row r="196">
      <c r="A196" s="81">
        <v>45798.0</v>
      </c>
      <c r="B196" s="49" t="s">
        <v>257</v>
      </c>
      <c r="C196" s="32" t="s">
        <v>23</v>
      </c>
      <c r="D196" s="50">
        <v>78.0</v>
      </c>
      <c r="E196" s="49" t="s">
        <v>24</v>
      </c>
      <c r="F196" s="49">
        <v>13.0</v>
      </c>
      <c r="G196" s="82"/>
      <c r="H196" s="52"/>
      <c r="I196" s="1"/>
      <c r="K196" s="53"/>
      <c r="O196" s="54"/>
      <c r="R196" s="53"/>
    </row>
    <row r="197">
      <c r="A197" s="81">
        <v>45798.0</v>
      </c>
      <c r="B197" s="49" t="s">
        <v>263</v>
      </c>
      <c r="C197" s="32" t="s">
        <v>23</v>
      </c>
      <c r="D197" s="50">
        <v>96.0</v>
      </c>
      <c r="E197" s="49" t="s">
        <v>24</v>
      </c>
      <c r="F197" s="49">
        <v>16.0</v>
      </c>
      <c r="G197" s="82"/>
      <c r="H197" s="52"/>
      <c r="I197" s="1"/>
      <c r="K197" s="53"/>
      <c r="O197" s="54"/>
      <c r="R197" s="53"/>
    </row>
    <row r="198">
      <c r="A198" s="81">
        <v>45798.0</v>
      </c>
      <c r="B198" s="49" t="s">
        <v>265</v>
      </c>
      <c r="C198" s="32" t="s">
        <v>23</v>
      </c>
      <c r="D198" s="50">
        <v>24.0</v>
      </c>
      <c r="E198" s="49" t="s">
        <v>24</v>
      </c>
      <c r="F198" s="49">
        <v>3.0</v>
      </c>
      <c r="G198" s="82"/>
      <c r="H198" s="52"/>
      <c r="I198" s="1"/>
      <c r="K198" s="53"/>
      <c r="O198" s="54"/>
      <c r="R198" s="53"/>
    </row>
    <row r="199">
      <c r="A199" s="81">
        <v>45798.0</v>
      </c>
      <c r="B199" s="49" t="s">
        <v>268</v>
      </c>
      <c r="C199" s="32" t="s">
        <v>23</v>
      </c>
      <c r="D199" s="50">
        <v>6.5</v>
      </c>
      <c r="E199" s="49" t="s">
        <v>24</v>
      </c>
      <c r="F199" s="49">
        <v>1.0</v>
      </c>
      <c r="G199" s="82"/>
      <c r="H199" s="52"/>
      <c r="I199" s="1"/>
      <c r="K199" s="53"/>
      <c r="O199" s="54"/>
      <c r="R199" s="53"/>
    </row>
    <row r="200">
      <c r="A200" s="81">
        <v>45798.0</v>
      </c>
      <c r="B200" s="49" t="s">
        <v>268</v>
      </c>
      <c r="C200" s="32" t="s">
        <v>23</v>
      </c>
      <c r="D200" s="50">
        <v>6.5</v>
      </c>
      <c r="E200" s="49" t="s">
        <v>24</v>
      </c>
      <c r="F200" s="49">
        <v>1.0</v>
      </c>
      <c r="G200" s="82"/>
      <c r="H200" s="52"/>
      <c r="I200" s="1"/>
      <c r="K200" s="53"/>
      <c r="O200" s="54"/>
      <c r="R200" s="53"/>
    </row>
    <row r="201">
      <c r="A201" s="81">
        <v>45798.0</v>
      </c>
      <c r="B201" s="49" t="s">
        <v>270</v>
      </c>
      <c r="C201" s="32" t="s">
        <v>23</v>
      </c>
      <c r="D201" s="50">
        <v>12.0</v>
      </c>
      <c r="E201" s="49" t="s">
        <v>24</v>
      </c>
      <c r="F201" s="49">
        <v>2.0</v>
      </c>
      <c r="G201" s="82"/>
      <c r="H201" s="52"/>
      <c r="I201" s="1"/>
      <c r="K201" s="53"/>
      <c r="O201" s="54"/>
      <c r="R201" s="53"/>
    </row>
    <row r="202">
      <c r="A202" s="81">
        <v>45798.0</v>
      </c>
      <c r="B202" s="49" t="s">
        <v>270</v>
      </c>
      <c r="C202" s="32" t="s">
        <v>23</v>
      </c>
      <c r="D202" s="50">
        <v>12.0</v>
      </c>
      <c r="E202" s="49" t="s">
        <v>24</v>
      </c>
      <c r="F202" s="49">
        <v>2.0</v>
      </c>
      <c r="G202" s="82"/>
      <c r="H202" s="52"/>
      <c r="I202" s="1"/>
      <c r="K202" s="53"/>
      <c r="O202" s="54"/>
      <c r="R202" s="53"/>
    </row>
    <row r="203">
      <c r="A203" s="81">
        <v>45798.0</v>
      </c>
      <c r="B203" s="49" t="s">
        <v>270</v>
      </c>
      <c r="C203" s="32" t="s">
        <v>23</v>
      </c>
      <c r="D203" s="50">
        <v>12.0</v>
      </c>
      <c r="E203" s="49" t="s">
        <v>24</v>
      </c>
      <c r="F203" s="49">
        <v>2.0</v>
      </c>
      <c r="G203" s="82"/>
      <c r="H203" s="52"/>
      <c r="I203" s="1"/>
      <c r="K203" s="53"/>
      <c r="O203" s="54"/>
      <c r="R203" s="53"/>
    </row>
    <row r="204">
      <c r="A204" s="81">
        <v>45798.0</v>
      </c>
      <c r="B204" s="49" t="s">
        <v>270</v>
      </c>
      <c r="C204" s="32" t="s">
        <v>23</v>
      </c>
      <c r="D204" s="50">
        <v>12.0</v>
      </c>
      <c r="E204" s="49" t="s">
        <v>24</v>
      </c>
      <c r="F204" s="49">
        <v>2.0</v>
      </c>
      <c r="G204" s="82"/>
      <c r="H204" s="52"/>
      <c r="I204" s="1"/>
      <c r="K204" s="53"/>
      <c r="O204" s="54"/>
      <c r="R204" s="53"/>
    </row>
    <row r="205">
      <c r="A205" s="81">
        <v>45798.0</v>
      </c>
      <c r="B205" s="49" t="s">
        <v>277</v>
      </c>
      <c r="C205" s="32" t="s">
        <v>23</v>
      </c>
      <c r="D205" s="50">
        <v>7.5</v>
      </c>
      <c r="E205" s="49" t="s">
        <v>24</v>
      </c>
      <c r="F205" s="49">
        <v>1.0</v>
      </c>
      <c r="G205" s="82"/>
      <c r="H205" s="52"/>
      <c r="I205" s="1"/>
      <c r="K205" s="53"/>
      <c r="O205" s="54"/>
      <c r="R205" s="53"/>
    </row>
    <row r="206">
      <c r="A206" s="81">
        <v>45798.0</v>
      </c>
      <c r="B206" s="49" t="s">
        <v>279</v>
      </c>
      <c r="C206" s="32" t="s">
        <v>23</v>
      </c>
      <c r="D206" s="50">
        <v>6.0</v>
      </c>
      <c r="E206" s="49" t="s">
        <v>24</v>
      </c>
      <c r="F206" s="49">
        <v>1.0</v>
      </c>
      <c r="G206" s="82"/>
      <c r="H206" s="52"/>
      <c r="I206" s="1"/>
      <c r="K206" s="53"/>
      <c r="O206" s="54"/>
      <c r="R206" s="53"/>
    </row>
    <row r="207">
      <c r="A207" s="81">
        <v>45798.0</v>
      </c>
      <c r="B207" s="49" t="s">
        <v>185</v>
      </c>
      <c r="C207" s="32" t="s">
        <v>23</v>
      </c>
      <c r="D207" s="50">
        <v>15.0</v>
      </c>
      <c r="E207" s="49" t="s">
        <v>24</v>
      </c>
      <c r="F207" s="49">
        <v>2.0</v>
      </c>
      <c r="G207" s="82"/>
      <c r="H207" s="52"/>
      <c r="I207" s="1"/>
      <c r="K207" s="53"/>
      <c r="O207" s="54"/>
      <c r="R207" s="53"/>
    </row>
    <row r="208">
      <c r="A208" s="81">
        <v>45798.0</v>
      </c>
      <c r="B208" s="49" t="s">
        <v>281</v>
      </c>
      <c r="C208" s="32" t="s">
        <v>23</v>
      </c>
      <c r="D208" s="50">
        <v>12.0</v>
      </c>
      <c r="E208" s="49" t="s">
        <v>24</v>
      </c>
      <c r="F208" s="49">
        <v>2.0</v>
      </c>
      <c r="G208" s="82"/>
      <c r="H208" s="52"/>
      <c r="I208" s="1"/>
      <c r="K208" s="53"/>
      <c r="O208" s="54"/>
      <c r="R208" s="53"/>
    </row>
    <row r="209">
      <c r="A209" s="81">
        <v>45798.0</v>
      </c>
      <c r="B209" s="49" t="s">
        <v>281</v>
      </c>
      <c r="C209" s="32" t="s">
        <v>23</v>
      </c>
      <c r="D209" s="50">
        <v>12.0</v>
      </c>
      <c r="E209" s="49" t="s">
        <v>24</v>
      </c>
      <c r="F209" s="49">
        <v>2.0</v>
      </c>
      <c r="G209" s="82"/>
      <c r="H209" s="52"/>
      <c r="I209" s="1"/>
      <c r="K209" s="53"/>
      <c r="O209" s="54"/>
      <c r="R209" s="53"/>
    </row>
    <row r="210">
      <c r="A210" s="81">
        <v>45798.0</v>
      </c>
      <c r="B210" s="49" t="s">
        <v>281</v>
      </c>
      <c r="C210" s="32" t="s">
        <v>23</v>
      </c>
      <c r="D210" s="50">
        <v>12.0</v>
      </c>
      <c r="E210" s="49" t="s">
        <v>24</v>
      </c>
      <c r="F210" s="49">
        <v>2.0</v>
      </c>
      <c r="G210" s="82"/>
      <c r="H210" s="52"/>
      <c r="I210" s="1"/>
      <c r="K210" s="53"/>
      <c r="O210" s="54"/>
      <c r="R210" s="53"/>
    </row>
    <row r="211">
      <c r="A211" s="81">
        <v>45798.0</v>
      </c>
      <c r="B211" s="49" t="s">
        <v>281</v>
      </c>
      <c r="C211" s="32" t="s">
        <v>23</v>
      </c>
      <c r="D211" s="50">
        <v>12.0</v>
      </c>
      <c r="E211" s="49" t="s">
        <v>24</v>
      </c>
      <c r="F211" s="49">
        <v>2.0</v>
      </c>
      <c r="G211" s="82"/>
      <c r="H211" s="52"/>
      <c r="I211" s="1"/>
      <c r="K211" s="53"/>
      <c r="O211" s="54"/>
      <c r="R211" s="53"/>
    </row>
    <row r="212">
      <c r="A212" s="81">
        <v>45798.0</v>
      </c>
      <c r="B212" s="49" t="s">
        <v>281</v>
      </c>
      <c r="C212" s="32" t="s">
        <v>23</v>
      </c>
      <c r="D212" s="50">
        <v>12.0</v>
      </c>
      <c r="E212" s="49" t="s">
        <v>24</v>
      </c>
      <c r="F212" s="49">
        <v>2.0</v>
      </c>
      <c r="G212" s="82"/>
      <c r="H212" s="52"/>
      <c r="I212" s="1"/>
      <c r="K212" s="53"/>
      <c r="O212" s="54"/>
      <c r="R212" s="53"/>
    </row>
    <row r="213">
      <c r="A213" s="81">
        <v>45798.0</v>
      </c>
      <c r="B213" s="49" t="s">
        <v>74</v>
      </c>
      <c r="C213" s="32" t="s">
        <v>23</v>
      </c>
      <c r="D213" s="50">
        <v>16.0</v>
      </c>
      <c r="E213" s="49" t="s">
        <v>24</v>
      </c>
      <c r="F213" s="49">
        <v>2.0</v>
      </c>
      <c r="G213" s="82"/>
      <c r="H213" s="52"/>
      <c r="I213" s="1"/>
      <c r="K213" s="53"/>
      <c r="O213" s="54"/>
      <c r="R213" s="53"/>
    </row>
    <row r="214">
      <c r="A214" s="81">
        <v>45798.0</v>
      </c>
      <c r="B214" s="49" t="s">
        <v>49</v>
      </c>
      <c r="C214" s="32" t="s">
        <v>23</v>
      </c>
      <c r="D214" s="50">
        <v>36.0</v>
      </c>
      <c r="E214" s="49" t="s">
        <v>24</v>
      </c>
      <c r="F214" s="49">
        <v>6.0</v>
      </c>
      <c r="G214" s="82"/>
      <c r="H214" s="52"/>
      <c r="I214" s="1"/>
      <c r="K214" s="53"/>
      <c r="O214" s="54"/>
      <c r="R214" s="53"/>
    </row>
    <row r="215">
      <c r="A215" s="86">
        <v>45798.0</v>
      </c>
      <c r="B215" s="49" t="s">
        <v>281</v>
      </c>
      <c r="C215" s="32" t="s">
        <v>23</v>
      </c>
      <c r="D215" s="50">
        <v>14.0</v>
      </c>
      <c r="E215" s="49" t="s">
        <v>24</v>
      </c>
      <c r="F215" s="49">
        <v>2.0</v>
      </c>
      <c r="G215" s="82"/>
      <c r="H215" s="52"/>
      <c r="I215" s="1"/>
      <c r="K215" s="53"/>
      <c r="O215" s="54"/>
      <c r="R215" s="53"/>
    </row>
    <row r="216">
      <c r="A216" s="86">
        <v>45798.0</v>
      </c>
      <c r="B216" s="49" t="s">
        <v>268</v>
      </c>
      <c r="C216" s="32" t="s">
        <v>23</v>
      </c>
      <c r="D216" s="50">
        <v>6.5</v>
      </c>
      <c r="E216" s="49" t="s">
        <v>24</v>
      </c>
      <c r="F216" s="49">
        <v>1.0</v>
      </c>
      <c r="G216" s="82"/>
      <c r="H216" s="52"/>
      <c r="I216" s="1"/>
      <c r="K216" s="53"/>
      <c r="O216" s="54"/>
      <c r="R216" s="53"/>
    </row>
    <row r="217">
      <c r="A217" s="86">
        <v>45798.0</v>
      </c>
      <c r="B217" s="49" t="s">
        <v>60</v>
      </c>
      <c r="C217" s="32" t="s">
        <v>23</v>
      </c>
      <c r="D217" s="50">
        <v>24.0</v>
      </c>
      <c r="E217" s="49" t="s">
        <v>24</v>
      </c>
      <c r="F217" s="49">
        <v>4.0</v>
      </c>
      <c r="G217" s="82"/>
      <c r="H217" s="52"/>
      <c r="I217" s="1"/>
      <c r="K217" s="53"/>
      <c r="O217" s="54"/>
      <c r="R217" s="53"/>
    </row>
    <row r="218">
      <c r="A218" s="86">
        <v>45798.0</v>
      </c>
      <c r="B218" s="49" t="s">
        <v>74</v>
      </c>
      <c r="C218" s="32" t="s">
        <v>23</v>
      </c>
      <c r="D218" s="50">
        <v>16.0</v>
      </c>
      <c r="E218" s="49" t="s">
        <v>24</v>
      </c>
      <c r="F218" s="49">
        <v>2.0</v>
      </c>
      <c r="G218" s="82"/>
      <c r="H218" s="52"/>
      <c r="I218" s="1"/>
      <c r="K218" s="53"/>
      <c r="O218" s="54"/>
      <c r="R218" s="53"/>
    </row>
    <row r="219">
      <c r="A219" s="86">
        <v>45798.0</v>
      </c>
      <c r="B219" s="49" t="s">
        <v>279</v>
      </c>
      <c r="C219" s="32" t="s">
        <v>23</v>
      </c>
      <c r="D219" s="50">
        <v>60.0</v>
      </c>
      <c r="E219" s="49" t="s">
        <v>24</v>
      </c>
      <c r="F219" s="49">
        <v>10.0</v>
      </c>
      <c r="G219" s="82"/>
      <c r="H219" s="52"/>
      <c r="I219" s="1"/>
      <c r="K219" s="53"/>
      <c r="O219" s="54"/>
      <c r="R219" s="53"/>
    </row>
    <row r="220">
      <c r="A220" s="86">
        <v>45798.0</v>
      </c>
      <c r="B220" s="49" t="s">
        <v>290</v>
      </c>
      <c r="C220" s="32" t="s">
        <v>23</v>
      </c>
      <c r="D220" s="50">
        <v>8.0</v>
      </c>
      <c r="E220" s="49" t="s">
        <v>24</v>
      </c>
      <c r="F220" s="49">
        <v>1.0</v>
      </c>
      <c r="G220" s="82"/>
      <c r="H220" s="52"/>
      <c r="I220" s="1"/>
      <c r="K220" s="53"/>
      <c r="O220" s="54"/>
      <c r="R220" s="53"/>
    </row>
    <row r="221">
      <c r="A221" s="86">
        <v>45798.0</v>
      </c>
      <c r="B221" s="49" t="s">
        <v>281</v>
      </c>
      <c r="C221" s="32" t="s">
        <v>23</v>
      </c>
      <c r="D221" s="50">
        <v>12.0</v>
      </c>
      <c r="E221" s="49" t="s">
        <v>24</v>
      </c>
      <c r="F221" s="49">
        <v>2.0</v>
      </c>
      <c r="G221" s="82"/>
      <c r="H221" s="52"/>
      <c r="I221" s="1"/>
      <c r="K221" s="53"/>
      <c r="O221" s="54"/>
      <c r="R221" s="53"/>
    </row>
    <row r="222">
      <c r="A222" s="86">
        <v>45798.0</v>
      </c>
      <c r="B222" s="49" t="s">
        <v>281</v>
      </c>
      <c r="C222" s="32" t="s">
        <v>23</v>
      </c>
      <c r="D222" s="50">
        <v>12.0</v>
      </c>
      <c r="E222" s="49" t="s">
        <v>24</v>
      </c>
      <c r="F222" s="49">
        <v>2.0</v>
      </c>
      <c r="G222" s="82"/>
      <c r="H222" s="52"/>
      <c r="I222" s="1"/>
      <c r="K222" s="53"/>
      <c r="O222" s="54"/>
      <c r="R222" s="53"/>
    </row>
    <row r="223">
      <c r="A223" s="86">
        <v>45798.0</v>
      </c>
      <c r="B223" s="49" t="s">
        <v>281</v>
      </c>
      <c r="C223" s="32" t="s">
        <v>23</v>
      </c>
      <c r="D223" s="50">
        <v>12.0</v>
      </c>
      <c r="E223" s="49" t="s">
        <v>24</v>
      </c>
      <c r="F223" s="49">
        <v>2.0</v>
      </c>
      <c r="G223" s="82"/>
      <c r="H223" s="52"/>
      <c r="I223" s="1"/>
      <c r="K223" s="53"/>
      <c r="O223" s="54"/>
      <c r="R223" s="53"/>
    </row>
    <row r="224">
      <c r="A224" s="86">
        <v>45798.0</v>
      </c>
      <c r="B224" s="49" t="s">
        <v>281</v>
      </c>
      <c r="C224" s="32" t="s">
        <v>23</v>
      </c>
      <c r="D224" s="50">
        <v>12.0</v>
      </c>
      <c r="E224" s="49" t="s">
        <v>24</v>
      </c>
      <c r="F224" s="49">
        <v>2.0</v>
      </c>
      <c r="G224" s="82"/>
      <c r="H224" s="52"/>
      <c r="I224" s="1"/>
      <c r="K224" s="53"/>
      <c r="O224" s="54"/>
      <c r="R224" s="53"/>
    </row>
    <row r="225">
      <c r="A225" s="86">
        <v>45798.0</v>
      </c>
      <c r="B225" s="49" t="s">
        <v>290</v>
      </c>
      <c r="C225" s="32" t="s">
        <v>23</v>
      </c>
      <c r="D225" s="50">
        <v>8.0</v>
      </c>
      <c r="E225" s="49" t="s">
        <v>24</v>
      </c>
      <c r="F225" s="49">
        <v>1.0</v>
      </c>
      <c r="G225" s="82"/>
      <c r="H225" s="52"/>
      <c r="I225" s="1"/>
      <c r="K225" s="53"/>
      <c r="O225" s="54"/>
      <c r="R225" s="53"/>
    </row>
    <row r="226">
      <c r="A226" s="86">
        <v>45798.0</v>
      </c>
      <c r="B226" s="49" t="s">
        <v>279</v>
      </c>
      <c r="C226" s="32" t="s">
        <v>23</v>
      </c>
      <c r="D226" s="50">
        <v>6.5</v>
      </c>
      <c r="E226" s="49" t="s">
        <v>24</v>
      </c>
      <c r="F226" s="49">
        <v>1.0</v>
      </c>
      <c r="G226" s="82"/>
      <c r="H226" s="52"/>
      <c r="I226" s="1"/>
      <c r="K226" s="53"/>
      <c r="O226" s="54"/>
      <c r="R226" s="53"/>
    </row>
    <row r="227">
      <c r="A227" s="86">
        <v>45798.0</v>
      </c>
      <c r="B227" s="49" t="s">
        <v>185</v>
      </c>
      <c r="C227" s="32" t="s">
        <v>23</v>
      </c>
      <c r="D227" s="50">
        <v>15.0</v>
      </c>
      <c r="E227" s="49" t="s">
        <v>24</v>
      </c>
      <c r="F227" s="49">
        <v>2.0</v>
      </c>
      <c r="G227" s="82"/>
      <c r="H227" s="52"/>
      <c r="I227" s="1"/>
      <c r="K227" s="53"/>
      <c r="O227" s="54"/>
      <c r="R227" s="53"/>
    </row>
    <row r="228">
      <c r="A228" s="86">
        <v>45798.0</v>
      </c>
      <c r="B228" s="49" t="s">
        <v>185</v>
      </c>
      <c r="C228" s="32" t="s">
        <v>23</v>
      </c>
      <c r="D228" s="50">
        <v>15.0</v>
      </c>
      <c r="E228" s="49" t="s">
        <v>24</v>
      </c>
      <c r="F228" s="49">
        <v>2.0</v>
      </c>
      <c r="G228" s="82"/>
      <c r="H228" s="52"/>
      <c r="I228" s="1"/>
      <c r="K228" s="53"/>
      <c r="O228" s="54"/>
      <c r="R228" s="53"/>
    </row>
    <row r="229">
      <c r="A229" s="86">
        <v>45798.0</v>
      </c>
      <c r="B229" s="49" t="s">
        <v>297</v>
      </c>
      <c r="C229" s="32" t="s">
        <v>23</v>
      </c>
      <c r="D229" s="50">
        <v>20.0</v>
      </c>
      <c r="E229" s="49" t="s">
        <v>24</v>
      </c>
      <c r="F229" s="49">
        <v>3.0</v>
      </c>
      <c r="G229" s="82"/>
      <c r="H229" s="52"/>
      <c r="I229" s="1"/>
      <c r="K229" s="53"/>
      <c r="O229" s="54"/>
      <c r="R229" s="53"/>
    </row>
    <row r="230">
      <c r="A230" s="86">
        <v>45798.0</v>
      </c>
      <c r="B230" s="49" t="s">
        <v>300</v>
      </c>
      <c r="C230" s="32" t="s">
        <v>23</v>
      </c>
      <c r="D230" s="50">
        <v>65.0</v>
      </c>
      <c r="E230" s="49" t="s">
        <v>24</v>
      </c>
      <c r="F230" s="49">
        <v>10.0</v>
      </c>
      <c r="G230" s="82"/>
      <c r="H230" s="52"/>
      <c r="I230" s="1"/>
      <c r="K230" s="53"/>
      <c r="O230" s="54"/>
      <c r="R230" s="53"/>
    </row>
    <row r="231">
      <c r="A231" s="86">
        <v>45798.0</v>
      </c>
      <c r="B231" s="49" t="s">
        <v>185</v>
      </c>
      <c r="C231" s="32" t="s">
        <v>23</v>
      </c>
      <c r="D231" s="50">
        <v>15.0</v>
      </c>
      <c r="E231" s="49" t="s">
        <v>24</v>
      </c>
      <c r="F231" s="49">
        <v>2.0</v>
      </c>
      <c r="G231" s="82"/>
      <c r="H231" s="52"/>
      <c r="I231" s="1"/>
      <c r="K231" s="53"/>
      <c r="O231" s="54"/>
      <c r="R231" s="53"/>
    </row>
    <row r="232">
      <c r="A232" s="86">
        <v>45798.0</v>
      </c>
      <c r="B232" s="49" t="s">
        <v>74</v>
      </c>
      <c r="C232" s="32" t="s">
        <v>23</v>
      </c>
      <c r="D232" s="50">
        <v>16.0</v>
      </c>
      <c r="E232" s="49" t="s">
        <v>24</v>
      </c>
      <c r="F232" s="49">
        <v>2.0</v>
      </c>
      <c r="G232" s="82"/>
      <c r="H232" s="52"/>
      <c r="I232" s="1"/>
      <c r="K232" s="53"/>
      <c r="O232" s="54"/>
      <c r="R232" s="53"/>
    </row>
    <row r="233">
      <c r="A233" s="86">
        <v>45798.0</v>
      </c>
      <c r="B233" s="49" t="s">
        <v>279</v>
      </c>
      <c r="C233" s="32" t="s">
        <v>23</v>
      </c>
      <c r="D233" s="50">
        <v>6.5</v>
      </c>
      <c r="E233" s="49" t="s">
        <v>24</v>
      </c>
      <c r="F233" s="49">
        <v>1.0</v>
      </c>
      <c r="G233" s="82"/>
      <c r="H233" s="52"/>
      <c r="I233" s="1"/>
      <c r="K233" s="53"/>
      <c r="O233" s="54"/>
      <c r="R233" s="53"/>
    </row>
    <row r="234">
      <c r="A234" s="86">
        <v>45798.0</v>
      </c>
      <c r="B234" s="49" t="s">
        <v>297</v>
      </c>
      <c r="C234" s="32" t="s">
        <v>23</v>
      </c>
      <c r="D234" s="50">
        <v>20.0</v>
      </c>
      <c r="E234" s="49" t="s">
        <v>24</v>
      </c>
      <c r="F234" s="49">
        <v>3.0</v>
      </c>
      <c r="G234" s="82"/>
      <c r="H234" s="52"/>
      <c r="I234" s="1"/>
      <c r="K234" s="53"/>
      <c r="O234" s="54"/>
      <c r="R234" s="53"/>
    </row>
    <row r="235">
      <c r="A235" s="86">
        <v>45798.0</v>
      </c>
      <c r="B235" s="49" t="s">
        <v>310</v>
      </c>
      <c r="C235" s="32" t="s">
        <v>23</v>
      </c>
      <c r="D235" s="50">
        <v>48.0</v>
      </c>
      <c r="E235" s="49" t="s">
        <v>24</v>
      </c>
      <c r="F235" s="49">
        <v>7.0</v>
      </c>
      <c r="G235" s="82"/>
      <c r="H235" s="52"/>
      <c r="I235" s="1"/>
      <c r="K235" s="53"/>
      <c r="O235" s="54"/>
      <c r="R235" s="53"/>
    </row>
    <row r="236">
      <c r="A236" s="86">
        <v>45798.0</v>
      </c>
      <c r="B236" s="49" t="s">
        <v>49</v>
      </c>
      <c r="C236" s="32" t="s">
        <v>23</v>
      </c>
      <c r="D236" s="50">
        <v>36.0</v>
      </c>
      <c r="E236" s="49" t="s">
        <v>24</v>
      </c>
      <c r="F236" s="49">
        <v>6.0</v>
      </c>
      <c r="G236" s="82"/>
      <c r="H236" s="52"/>
      <c r="I236" s="1"/>
      <c r="K236" s="53"/>
      <c r="O236" s="54"/>
      <c r="R236" s="53"/>
    </row>
    <row r="237">
      <c r="A237" s="86">
        <v>45798.0</v>
      </c>
      <c r="B237" s="49" t="s">
        <v>281</v>
      </c>
      <c r="C237" s="32" t="s">
        <v>23</v>
      </c>
      <c r="D237" s="50">
        <v>12.0</v>
      </c>
      <c r="E237" s="49" t="s">
        <v>24</v>
      </c>
      <c r="F237" s="49">
        <v>2.0</v>
      </c>
      <c r="G237" s="82"/>
      <c r="H237" s="52"/>
      <c r="I237" s="1"/>
      <c r="K237" s="53"/>
      <c r="O237" s="54"/>
      <c r="R237" s="53"/>
    </row>
    <row r="238">
      <c r="A238" s="86">
        <v>45798.0</v>
      </c>
      <c r="B238" s="49" t="s">
        <v>313</v>
      </c>
      <c r="C238" s="32" t="s">
        <v>23</v>
      </c>
      <c r="D238" s="50">
        <v>26.0</v>
      </c>
      <c r="E238" s="49" t="s">
        <v>24</v>
      </c>
      <c r="F238" s="49">
        <v>4.0</v>
      </c>
      <c r="G238" s="82"/>
      <c r="H238" s="52"/>
      <c r="I238" s="1"/>
      <c r="K238" s="53"/>
      <c r="O238" s="54"/>
      <c r="R238" s="53"/>
    </row>
    <row r="239">
      <c r="A239" s="86">
        <v>45798.0</v>
      </c>
      <c r="B239" s="49" t="s">
        <v>314</v>
      </c>
      <c r="C239" s="32" t="s">
        <v>23</v>
      </c>
      <c r="D239" s="50">
        <v>8.0</v>
      </c>
      <c r="E239" s="49" t="s">
        <v>24</v>
      </c>
      <c r="F239" s="49">
        <v>1.0</v>
      </c>
      <c r="G239" s="82"/>
      <c r="H239" s="52"/>
      <c r="I239" s="1"/>
      <c r="K239" s="53"/>
      <c r="O239" s="54"/>
      <c r="R239" s="53"/>
    </row>
    <row r="240">
      <c r="A240" s="86">
        <v>45798.0</v>
      </c>
      <c r="B240" s="49" t="s">
        <v>316</v>
      </c>
      <c r="C240" s="32" t="s">
        <v>23</v>
      </c>
      <c r="D240" s="50">
        <v>20.0</v>
      </c>
      <c r="E240" s="49" t="s">
        <v>24</v>
      </c>
      <c r="F240" s="49">
        <v>3.0</v>
      </c>
      <c r="G240" s="82"/>
      <c r="H240" s="52"/>
      <c r="I240" s="1"/>
      <c r="K240" s="53"/>
      <c r="O240" s="54"/>
      <c r="R240" s="53"/>
    </row>
    <row r="241">
      <c r="A241" s="86">
        <v>45798.0</v>
      </c>
      <c r="B241" s="49" t="s">
        <v>248</v>
      </c>
      <c r="C241" s="32" t="s">
        <v>23</v>
      </c>
      <c r="D241" s="50">
        <v>7.5</v>
      </c>
      <c r="E241" s="49" t="s">
        <v>24</v>
      </c>
      <c r="F241" s="49">
        <v>1.0</v>
      </c>
      <c r="G241" s="82"/>
      <c r="H241" s="52"/>
      <c r="I241" s="1"/>
      <c r="K241" s="53"/>
      <c r="O241" s="54"/>
      <c r="R241" s="53"/>
    </row>
    <row r="242">
      <c r="A242" s="86">
        <v>45798.0</v>
      </c>
      <c r="B242" s="49" t="s">
        <v>320</v>
      </c>
      <c r="C242" s="32" t="s">
        <v>23</v>
      </c>
      <c r="D242" s="50">
        <v>40.0</v>
      </c>
      <c r="E242" s="49" t="s">
        <v>24</v>
      </c>
      <c r="F242" s="49">
        <v>5.0</v>
      </c>
      <c r="G242" s="82"/>
      <c r="H242" s="52"/>
      <c r="I242" s="1"/>
      <c r="K242" s="53"/>
      <c r="O242" s="54"/>
      <c r="R242" s="53"/>
    </row>
    <row r="243">
      <c r="A243" s="86">
        <v>45798.0</v>
      </c>
      <c r="B243" s="49" t="s">
        <v>322</v>
      </c>
      <c r="C243" s="32" t="s">
        <v>23</v>
      </c>
      <c r="D243" s="50">
        <v>50.4</v>
      </c>
      <c r="E243" s="49" t="s">
        <v>24</v>
      </c>
      <c r="F243" s="49">
        <v>0.0</v>
      </c>
      <c r="G243" s="82"/>
      <c r="H243" s="52"/>
      <c r="I243" s="1"/>
      <c r="K243" s="53"/>
      <c r="O243" s="54"/>
      <c r="R243" s="53"/>
    </row>
    <row r="244">
      <c r="A244" s="86">
        <v>45798.0</v>
      </c>
      <c r="B244" s="49" t="s">
        <v>316</v>
      </c>
      <c r="C244" s="32" t="s">
        <v>23</v>
      </c>
      <c r="D244" s="50">
        <v>20.0</v>
      </c>
      <c r="E244" s="49" t="s">
        <v>24</v>
      </c>
      <c r="F244" s="49">
        <v>3.0</v>
      </c>
      <c r="G244" s="82"/>
      <c r="H244" s="52"/>
      <c r="I244" s="1"/>
      <c r="K244" s="53"/>
      <c r="O244" s="54"/>
      <c r="R244" s="53"/>
    </row>
    <row r="245">
      <c r="A245" s="86">
        <v>45798.0</v>
      </c>
      <c r="B245" s="49" t="s">
        <v>324</v>
      </c>
      <c r="C245" s="32" t="s">
        <v>23</v>
      </c>
      <c r="D245" s="50">
        <v>14.5</v>
      </c>
      <c r="E245" s="49" t="s">
        <v>24</v>
      </c>
      <c r="F245" s="49">
        <v>2.0</v>
      </c>
      <c r="G245" s="82"/>
      <c r="H245" s="52"/>
      <c r="I245" s="1"/>
      <c r="K245" s="53"/>
      <c r="O245" s="54"/>
      <c r="R245" s="53"/>
    </row>
    <row r="246">
      <c r="A246" s="86">
        <v>45798.0</v>
      </c>
      <c r="B246" s="49" t="s">
        <v>300</v>
      </c>
      <c r="C246" s="32" t="s">
        <v>23</v>
      </c>
      <c r="D246" s="50">
        <v>60.0</v>
      </c>
      <c r="E246" s="49" t="s">
        <v>24</v>
      </c>
      <c r="F246" s="49">
        <v>10.0</v>
      </c>
      <c r="G246" s="82"/>
      <c r="H246" s="52"/>
      <c r="I246" s="1"/>
      <c r="K246" s="53"/>
      <c r="O246" s="54"/>
      <c r="R246" s="53"/>
    </row>
    <row r="247">
      <c r="A247" s="86">
        <v>45798.0</v>
      </c>
      <c r="B247" s="49" t="s">
        <v>268</v>
      </c>
      <c r="C247" s="32" t="s">
        <v>23</v>
      </c>
      <c r="D247" s="50">
        <v>6.5</v>
      </c>
      <c r="E247" s="49" t="s">
        <v>24</v>
      </c>
      <c r="F247" s="49">
        <v>1.0</v>
      </c>
      <c r="G247" s="82"/>
      <c r="H247" s="52"/>
      <c r="I247" s="1"/>
      <c r="K247" s="53"/>
      <c r="O247" s="54"/>
      <c r="R247" s="53"/>
    </row>
    <row r="248">
      <c r="A248" s="86">
        <v>45798.0</v>
      </c>
      <c r="B248" s="49" t="s">
        <v>290</v>
      </c>
      <c r="C248" s="32" t="s">
        <v>23</v>
      </c>
      <c r="D248" s="50">
        <v>8.0</v>
      </c>
      <c r="E248" s="49" t="s">
        <v>24</v>
      </c>
      <c r="F248" s="49">
        <v>1.0</v>
      </c>
      <c r="G248" s="82"/>
      <c r="H248" s="52"/>
      <c r="I248" s="1"/>
      <c r="K248" s="53"/>
      <c r="O248" s="54"/>
      <c r="R248" s="53"/>
    </row>
    <row r="249">
      <c r="A249" s="86">
        <v>45798.0</v>
      </c>
      <c r="B249" s="49" t="s">
        <v>330</v>
      </c>
      <c r="C249" s="32" t="s">
        <v>64</v>
      </c>
      <c r="D249" s="50">
        <v>132.0</v>
      </c>
      <c r="E249" s="49" t="s">
        <v>24</v>
      </c>
      <c r="F249" s="49">
        <v>0.0</v>
      </c>
      <c r="G249" s="82"/>
      <c r="H249" s="52"/>
      <c r="I249" s="1"/>
      <c r="K249" s="53"/>
      <c r="O249" s="54"/>
      <c r="R249" s="53"/>
    </row>
    <row r="250">
      <c r="A250" s="86">
        <v>45798.0</v>
      </c>
      <c r="B250" s="49" t="s">
        <v>332</v>
      </c>
      <c r="C250" s="32" t="s">
        <v>23</v>
      </c>
      <c r="D250" s="50">
        <v>32.0</v>
      </c>
      <c r="E250" s="49" t="s">
        <v>24</v>
      </c>
      <c r="F250" s="49">
        <v>4.0</v>
      </c>
      <c r="G250" s="82"/>
      <c r="H250" s="52"/>
      <c r="I250" s="1"/>
      <c r="K250" s="53"/>
      <c r="O250" s="54"/>
      <c r="R250" s="53"/>
    </row>
    <row r="251">
      <c r="A251" s="86">
        <v>45798.0</v>
      </c>
      <c r="B251" s="49" t="s">
        <v>333</v>
      </c>
      <c r="C251" s="32" t="s">
        <v>23</v>
      </c>
      <c r="D251" s="50">
        <v>30.0</v>
      </c>
      <c r="E251" s="49" t="s">
        <v>24</v>
      </c>
      <c r="F251" s="49">
        <v>5.0</v>
      </c>
      <c r="G251" s="82"/>
      <c r="H251" s="52"/>
      <c r="I251" s="1"/>
      <c r="K251" s="53"/>
      <c r="O251" s="54"/>
      <c r="R251" s="53"/>
    </row>
    <row r="252">
      <c r="A252" s="86">
        <v>45798.0</v>
      </c>
      <c r="B252" s="49" t="s">
        <v>334</v>
      </c>
      <c r="C252" s="32" t="s">
        <v>23</v>
      </c>
      <c r="D252" s="50">
        <v>8.0</v>
      </c>
      <c r="E252" s="49" t="s">
        <v>24</v>
      </c>
      <c r="F252" s="49">
        <v>3.0</v>
      </c>
      <c r="G252" s="82"/>
      <c r="H252" s="52"/>
      <c r="I252" s="1"/>
      <c r="K252" s="53"/>
      <c r="O252" s="54"/>
      <c r="R252" s="53"/>
    </row>
    <row r="253">
      <c r="A253" s="86">
        <v>45798.0</v>
      </c>
      <c r="B253" s="49" t="s">
        <v>279</v>
      </c>
      <c r="C253" s="32" t="s">
        <v>23</v>
      </c>
      <c r="D253" s="50">
        <v>6.5</v>
      </c>
      <c r="E253" s="49" t="s">
        <v>24</v>
      </c>
      <c r="F253" s="49">
        <v>1.0</v>
      </c>
      <c r="G253" s="82"/>
      <c r="H253" s="52"/>
      <c r="I253" s="1"/>
      <c r="K253" s="53"/>
      <c r="O253" s="54"/>
      <c r="R253" s="53"/>
    </row>
    <row r="254">
      <c r="A254" s="86">
        <v>45798.0</v>
      </c>
      <c r="B254" s="49" t="s">
        <v>277</v>
      </c>
      <c r="C254" s="32" t="s">
        <v>23</v>
      </c>
      <c r="D254" s="50">
        <v>7.5</v>
      </c>
      <c r="E254" s="49" t="s">
        <v>24</v>
      </c>
      <c r="F254" s="49">
        <v>1.0</v>
      </c>
      <c r="G254" s="82"/>
      <c r="H254" s="52"/>
      <c r="I254" s="1"/>
      <c r="K254" s="53"/>
      <c r="O254" s="54"/>
      <c r="R254" s="53"/>
    </row>
    <row r="255">
      <c r="A255" s="86">
        <v>45798.0</v>
      </c>
      <c r="B255" s="49" t="s">
        <v>335</v>
      </c>
      <c r="C255" s="32" t="s">
        <v>23</v>
      </c>
      <c r="D255" s="50">
        <v>13.0</v>
      </c>
      <c r="E255" s="49" t="s">
        <v>24</v>
      </c>
      <c r="F255" s="49">
        <v>2.0</v>
      </c>
      <c r="G255" s="82"/>
      <c r="H255" s="52"/>
      <c r="I255" s="1"/>
      <c r="K255" s="53"/>
      <c r="O255" s="54"/>
      <c r="R255" s="53"/>
    </row>
    <row r="256">
      <c r="A256" s="86">
        <v>45798.0</v>
      </c>
      <c r="B256" s="49" t="s">
        <v>314</v>
      </c>
      <c r="C256" s="32" t="s">
        <v>23</v>
      </c>
      <c r="D256" s="50">
        <v>8.0</v>
      </c>
      <c r="E256" s="49" t="s">
        <v>24</v>
      </c>
      <c r="F256" s="49">
        <v>1.0</v>
      </c>
      <c r="G256" s="82"/>
      <c r="H256" s="52"/>
      <c r="I256" s="1"/>
      <c r="K256" s="53"/>
      <c r="O256" s="54"/>
      <c r="R256" s="53"/>
    </row>
    <row r="257">
      <c r="A257" s="86">
        <v>45798.0</v>
      </c>
      <c r="B257" s="49" t="s">
        <v>336</v>
      </c>
      <c r="C257" s="32" t="s">
        <v>23</v>
      </c>
      <c r="D257" s="50">
        <v>21.0</v>
      </c>
      <c r="E257" s="49" t="s">
        <v>24</v>
      </c>
      <c r="F257" s="49">
        <v>3.0</v>
      </c>
      <c r="G257" s="82"/>
      <c r="H257" s="52"/>
      <c r="I257" s="1"/>
      <c r="K257" s="53"/>
      <c r="O257" s="54"/>
      <c r="R257" s="53"/>
    </row>
    <row r="258">
      <c r="A258" s="86">
        <v>45798.0</v>
      </c>
      <c r="B258" s="49" t="s">
        <v>185</v>
      </c>
      <c r="C258" s="32" t="s">
        <v>23</v>
      </c>
      <c r="D258" s="50">
        <v>15.0</v>
      </c>
      <c r="E258" s="49" t="s">
        <v>24</v>
      </c>
      <c r="F258" s="49">
        <v>2.0</v>
      </c>
      <c r="G258" s="82"/>
      <c r="H258" s="52"/>
      <c r="I258" s="1"/>
      <c r="K258" s="53"/>
      <c r="O258" s="54"/>
      <c r="R258" s="53"/>
    </row>
    <row r="259">
      <c r="A259" s="86">
        <v>45798.0</v>
      </c>
      <c r="B259" s="49" t="s">
        <v>290</v>
      </c>
      <c r="C259" s="32" t="s">
        <v>23</v>
      </c>
      <c r="D259" s="50">
        <v>8.0</v>
      </c>
      <c r="E259" s="49" t="s">
        <v>24</v>
      </c>
      <c r="F259" s="49">
        <v>1.0</v>
      </c>
      <c r="G259" s="82"/>
      <c r="H259" s="52"/>
      <c r="I259" s="1"/>
      <c r="K259" s="53"/>
      <c r="O259" s="54"/>
      <c r="R259" s="53"/>
    </row>
    <row r="260">
      <c r="A260" s="86">
        <v>45798.0</v>
      </c>
      <c r="B260" s="49" t="s">
        <v>281</v>
      </c>
      <c r="C260" s="32" t="s">
        <v>23</v>
      </c>
      <c r="D260" s="50">
        <v>12.0</v>
      </c>
      <c r="E260" s="49" t="s">
        <v>24</v>
      </c>
      <c r="F260" s="49">
        <v>2.0</v>
      </c>
      <c r="G260" s="82"/>
      <c r="H260" s="52"/>
      <c r="I260" s="1"/>
      <c r="K260" s="53"/>
      <c r="O260" s="54"/>
      <c r="R260" s="53"/>
    </row>
    <row r="261">
      <c r="A261" s="86">
        <v>45798.0</v>
      </c>
      <c r="B261" s="49" t="s">
        <v>336</v>
      </c>
      <c r="C261" s="32" t="s">
        <v>23</v>
      </c>
      <c r="D261" s="50">
        <v>21.0</v>
      </c>
      <c r="E261" s="49" t="s">
        <v>24</v>
      </c>
      <c r="F261" s="49">
        <v>3.0</v>
      </c>
      <c r="G261" s="82"/>
      <c r="H261" s="52"/>
      <c r="I261" s="1"/>
      <c r="K261" s="53"/>
      <c r="O261" s="54"/>
      <c r="R261" s="53"/>
    </row>
    <row r="262">
      <c r="A262" s="86">
        <v>45798.0</v>
      </c>
      <c r="B262" s="49" t="s">
        <v>290</v>
      </c>
      <c r="C262" s="32" t="s">
        <v>23</v>
      </c>
      <c r="D262" s="50">
        <v>8.0</v>
      </c>
      <c r="E262" s="49" t="s">
        <v>24</v>
      </c>
      <c r="F262" s="68">
        <v>1.0</v>
      </c>
      <c r="G262" s="82"/>
      <c r="H262" s="52"/>
      <c r="I262" s="1"/>
      <c r="K262" s="53"/>
      <c r="O262" s="54"/>
      <c r="R262" s="53"/>
    </row>
    <row r="263">
      <c r="A263" s="86">
        <v>45798.0</v>
      </c>
      <c r="B263" s="49" t="s">
        <v>290</v>
      </c>
      <c r="C263" s="32" t="s">
        <v>23</v>
      </c>
      <c r="D263" s="50">
        <v>8.0</v>
      </c>
      <c r="E263" s="49" t="s">
        <v>24</v>
      </c>
      <c r="F263" s="68">
        <v>1.0</v>
      </c>
      <c r="G263" s="82"/>
      <c r="H263" s="52"/>
      <c r="I263" s="1"/>
      <c r="K263" s="53"/>
      <c r="O263" s="54"/>
      <c r="R263" s="53"/>
    </row>
    <row r="264">
      <c r="A264" s="86">
        <v>45798.0</v>
      </c>
      <c r="B264" s="49" t="s">
        <v>339</v>
      </c>
      <c r="C264" s="32" t="s">
        <v>23</v>
      </c>
      <c r="D264" s="50">
        <v>32.0</v>
      </c>
      <c r="E264" s="49" t="s">
        <v>24</v>
      </c>
      <c r="F264" s="68">
        <v>4.0</v>
      </c>
      <c r="G264" s="82"/>
      <c r="H264" s="52"/>
      <c r="I264" s="1"/>
      <c r="K264" s="53"/>
      <c r="O264" s="54"/>
      <c r="R264" s="53"/>
    </row>
    <row r="265">
      <c r="A265" s="86">
        <v>45798.0</v>
      </c>
      <c r="B265" s="49" t="s">
        <v>277</v>
      </c>
      <c r="C265" s="32" t="s">
        <v>23</v>
      </c>
      <c r="D265" s="50">
        <v>7.5</v>
      </c>
      <c r="E265" s="49" t="s">
        <v>24</v>
      </c>
      <c r="F265" s="68">
        <v>1.0</v>
      </c>
      <c r="G265" s="82"/>
      <c r="H265" s="52"/>
      <c r="I265" s="1"/>
      <c r="K265" s="53"/>
      <c r="O265" s="54"/>
      <c r="R265" s="53"/>
    </row>
    <row r="266">
      <c r="A266" s="86">
        <v>45798.0</v>
      </c>
      <c r="B266" s="49" t="s">
        <v>268</v>
      </c>
      <c r="C266" s="32" t="s">
        <v>23</v>
      </c>
      <c r="D266" s="50">
        <v>6.5</v>
      </c>
      <c r="E266" s="49" t="s">
        <v>24</v>
      </c>
      <c r="F266" s="68">
        <v>1.0</v>
      </c>
      <c r="G266" s="82"/>
      <c r="H266" s="52"/>
      <c r="I266" s="1"/>
      <c r="K266" s="53"/>
      <c r="O266" s="54"/>
      <c r="R266" s="53"/>
    </row>
    <row r="267">
      <c r="A267" s="86">
        <v>45798.0</v>
      </c>
      <c r="B267" s="49" t="s">
        <v>268</v>
      </c>
      <c r="C267" s="32" t="s">
        <v>23</v>
      </c>
      <c r="D267" s="50">
        <v>6.5</v>
      </c>
      <c r="E267" s="49" t="s">
        <v>24</v>
      </c>
      <c r="F267" s="68">
        <v>1.0</v>
      </c>
      <c r="G267" s="82"/>
      <c r="H267" s="52"/>
      <c r="I267" s="1"/>
      <c r="K267" s="53"/>
      <c r="O267" s="54"/>
      <c r="R267" s="53"/>
    </row>
    <row r="268">
      <c r="A268" s="86">
        <v>45798.0</v>
      </c>
      <c r="B268" s="49" t="s">
        <v>268</v>
      </c>
      <c r="C268" s="32" t="s">
        <v>23</v>
      </c>
      <c r="D268" s="50">
        <v>6.5</v>
      </c>
      <c r="E268" s="49" t="s">
        <v>24</v>
      </c>
      <c r="F268" s="68">
        <v>1.0</v>
      </c>
      <c r="G268" s="82"/>
      <c r="H268" s="52"/>
      <c r="I268" s="1"/>
      <c r="K268" s="53"/>
      <c r="O268" s="54"/>
      <c r="R268" s="53"/>
    </row>
    <row r="269">
      <c r="A269" s="86">
        <v>45798.0</v>
      </c>
      <c r="B269" s="49" t="s">
        <v>268</v>
      </c>
      <c r="C269" s="32" t="s">
        <v>23</v>
      </c>
      <c r="D269" s="50">
        <v>6.5</v>
      </c>
      <c r="E269" s="49" t="s">
        <v>24</v>
      </c>
      <c r="F269" s="68">
        <v>1.0</v>
      </c>
      <c r="G269" s="82"/>
      <c r="H269" s="52"/>
      <c r="I269" s="1"/>
      <c r="K269" s="53"/>
      <c r="O269" s="54"/>
      <c r="R269" s="53"/>
    </row>
    <row r="270">
      <c r="A270" s="86">
        <v>45798.0</v>
      </c>
      <c r="B270" s="49" t="s">
        <v>185</v>
      </c>
      <c r="C270" s="32" t="s">
        <v>23</v>
      </c>
      <c r="D270" s="50">
        <v>15.0</v>
      </c>
      <c r="E270" s="49" t="s">
        <v>24</v>
      </c>
      <c r="F270" s="68">
        <v>2.0</v>
      </c>
      <c r="G270" s="82"/>
      <c r="H270" s="52"/>
      <c r="I270" s="1"/>
      <c r="K270" s="53"/>
      <c r="O270" s="54"/>
      <c r="R270" s="53"/>
    </row>
    <row r="271">
      <c r="A271" s="86">
        <v>45798.0</v>
      </c>
      <c r="B271" s="49" t="s">
        <v>290</v>
      </c>
      <c r="C271" s="32" t="s">
        <v>23</v>
      </c>
      <c r="D271" s="50">
        <v>8.0</v>
      </c>
      <c r="E271" s="49" t="s">
        <v>24</v>
      </c>
      <c r="F271" s="68">
        <v>1.0</v>
      </c>
      <c r="G271" s="82"/>
      <c r="H271" s="52"/>
      <c r="I271" s="1"/>
      <c r="K271" s="53"/>
      <c r="O271" s="54"/>
      <c r="R271" s="53"/>
    </row>
    <row r="272">
      <c r="A272" s="86">
        <v>45798.0</v>
      </c>
      <c r="B272" s="49" t="s">
        <v>290</v>
      </c>
      <c r="C272" s="32" t="s">
        <v>23</v>
      </c>
      <c r="D272" s="50">
        <v>8.0</v>
      </c>
      <c r="E272" s="49" t="s">
        <v>24</v>
      </c>
      <c r="F272" s="68">
        <v>1.0</v>
      </c>
      <c r="G272" s="82"/>
      <c r="H272" s="52"/>
      <c r="I272" s="1"/>
      <c r="K272" s="53"/>
      <c r="O272" s="54"/>
      <c r="R272" s="53"/>
    </row>
    <row r="273">
      <c r="A273" s="86">
        <v>45798.0</v>
      </c>
      <c r="B273" s="49" t="s">
        <v>281</v>
      </c>
      <c r="C273" s="32" t="s">
        <v>23</v>
      </c>
      <c r="D273" s="50">
        <v>12.0</v>
      </c>
      <c r="E273" s="49" t="s">
        <v>24</v>
      </c>
      <c r="F273" s="68">
        <v>2.0</v>
      </c>
      <c r="G273" s="82"/>
      <c r="H273" s="52"/>
      <c r="I273" s="1"/>
      <c r="K273" s="53"/>
      <c r="O273" s="54"/>
      <c r="R273" s="53"/>
    </row>
    <row r="274">
      <c r="A274" s="86">
        <v>45798.0</v>
      </c>
      <c r="B274" s="49" t="s">
        <v>347</v>
      </c>
      <c r="C274" s="32" t="s">
        <v>23</v>
      </c>
      <c r="D274" s="50">
        <v>29.0</v>
      </c>
      <c r="E274" s="49" t="s">
        <v>24</v>
      </c>
      <c r="F274" s="68">
        <v>4.0</v>
      </c>
      <c r="G274" s="82"/>
      <c r="H274" s="52"/>
      <c r="I274" s="1"/>
      <c r="K274" s="53"/>
      <c r="O274" s="54"/>
      <c r="R274" s="53"/>
    </row>
    <row r="275">
      <c r="A275" s="86">
        <v>45798.0</v>
      </c>
      <c r="B275" s="49" t="s">
        <v>348</v>
      </c>
      <c r="C275" s="32" t="s">
        <v>64</v>
      </c>
      <c r="D275" s="50">
        <v>66.09</v>
      </c>
      <c r="E275" s="49" t="s">
        <v>24</v>
      </c>
      <c r="F275" s="68">
        <v>0.0</v>
      </c>
      <c r="G275" s="82"/>
      <c r="H275" s="52"/>
      <c r="I275" s="1"/>
      <c r="K275" s="53"/>
      <c r="O275" s="54"/>
      <c r="R275" s="53"/>
    </row>
    <row r="276">
      <c r="A276" s="86">
        <v>45798.0</v>
      </c>
      <c r="B276" s="49" t="s">
        <v>60</v>
      </c>
      <c r="C276" s="32" t="s">
        <v>23</v>
      </c>
      <c r="D276" s="50">
        <v>24.0</v>
      </c>
      <c r="E276" s="49" t="s">
        <v>24</v>
      </c>
      <c r="F276" s="68">
        <v>4.0</v>
      </c>
      <c r="G276" s="82"/>
      <c r="H276" s="52"/>
      <c r="I276" s="1"/>
      <c r="K276" s="53"/>
      <c r="O276" s="54"/>
      <c r="R276" s="53"/>
    </row>
    <row r="277">
      <c r="A277" s="86">
        <v>45798.0</v>
      </c>
      <c r="B277" s="49" t="s">
        <v>268</v>
      </c>
      <c r="C277" s="32" t="s">
        <v>23</v>
      </c>
      <c r="D277" s="50">
        <v>6.5</v>
      </c>
      <c r="E277" s="49" t="s">
        <v>24</v>
      </c>
      <c r="F277" s="68">
        <v>4.0</v>
      </c>
      <c r="G277" s="82"/>
      <c r="H277" s="52"/>
      <c r="I277" s="1"/>
      <c r="K277" s="53"/>
      <c r="O277" s="54"/>
      <c r="R277" s="53"/>
    </row>
    <row r="278">
      <c r="A278" s="86">
        <v>45798.0</v>
      </c>
      <c r="B278" s="49" t="s">
        <v>248</v>
      </c>
      <c r="C278" s="32" t="s">
        <v>23</v>
      </c>
      <c r="D278" s="50">
        <v>7.5</v>
      </c>
      <c r="E278" s="49" t="s">
        <v>24</v>
      </c>
      <c r="F278" s="68">
        <v>1.0</v>
      </c>
      <c r="G278" s="82"/>
      <c r="H278" s="52"/>
      <c r="I278" s="1"/>
      <c r="K278" s="53"/>
      <c r="O278" s="54"/>
      <c r="R278" s="53"/>
    </row>
    <row r="279">
      <c r="A279" s="86">
        <v>45798.0</v>
      </c>
      <c r="B279" s="49" t="s">
        <v>351</v>
      </c>
      <c r="C279" s="32" t="s">
        <v>23</v>
      </c>
      <c r="D279" s="50">
        <v>130.0</v>
      </c>
      <c r="E279" s="49" t="s">
        <v>24</v>
      </c>
      <c r="F279" s="68">
        <v>20.0</v>
      </c>
      <c r="G279" s="82"/>
      <c r="H279" s="52"/>
      <c r="I279" s="1"/>
      <c r="K279" s="53"/>
      <c r="O279" s="54"/>
      <c r="R279" s="53"/>
    </row>
    <row r="280">
      <c r="A280" s="86">
        <v>45798.0</v>
      </c>
      <c r="B280" s="49" t="s">
        <v>290</v>
      </c>
      <c r="C280" s="32" t="s">
        <v>23</v>
      </c>
      <c r="D280" s="50">
        <v>8.0</v>
      </c>
      <c r="E280" s="49" t="s">
        <v>24</v>
      </c>
      <c r="F280" s="68">
        <v>1.0</v>
      </c>
      <c r="G280" s="82"/>
      <c r="H280" s="52"/>
      <c r="I280" s="1"/>
      <c r="K280" s="53"/>
      <c r="O280" s="54"/>
      <c r="R280" s="53"/>
    </row>
    <row r="281">
      <c r="A281" s="86">
        <v>45798.0</v>
      </c>
      <c r="B281" s="49" t="s">
        <v>352</v>
      </c>
      <c r="C281" s="32" t="s">
        <v>64</v>
      </c>
      <c r="D281" s="50">
        <v>450.0</v>
      </c>
      <c r="E281" s="49" t="s">
        <v>24</v>
      </c>
      <c r="F281" s="68">
        <v>0.0</v>
      </c>
      <c r="G281" s="82"/>
      <c r="H281" s="52"/>
      <c r="I281" s="1"/>
      <c r="K281" s="53"/>
      <c r="O281" s="54"/>
      <c r="R281" s="53"/>
    </row>
    <row r="282">
      <c r="A282" s="86">
        <v>45798.0</v>
      </c>
      <c r="B282" s="49" t="s">
        <v>60</v>
      </c>
      <c r="C282" s="32" t="s">
        <v>23</v>
      </c>
      <c r="D282" s="50">
        <v>16.0</v>
      </c>
      <c r="E282" s="49" t="s">
        <v>24</v>
      </c>
      <c r="F282" s="68">
        <v>2.0</v>
      </c>
      <c r="G282" s="82"/>
      <c r="H282" s="52"/>
      <c r="I282" s="1"/>
      <c r="K282" s="53"/>
      <c r="O282" s="54"/>
      <c r="R282" s="53"/>
    </row>
    <row r="283">
      <c r="A283" s="86">
        <v>45798.0</v>
      </c>
      <c r="B283" s="49" t="s">
        <v>316</v>
      </c>
      <c r="C283" s="32" t="s">
        <v>23</v>
      </c>
      <c r="D283" s="50">
        <v>20.0</v>
      </c>
      <c r="E283" s="49" t="s">
        <v>24</v>
      </c>
      <c r="F283" s="68">
        <v>3.0</v>
      </c>
      <c r="G283" s="82"/>
      <c r="H283" s="52"/>
      <c r="I283" s="1"/>
      <c r="K283" s="53"/>
      <c r="O283" s="54"/>
      <c r="R283" s="53"/>
    </row>
    <row r="284">
      <c r="A284" s="86">
        <v>45798.0</v>
      </c>
      <c r="B284" s="49" t="s">
        <v>277</v>
      </c>
      <c r="C284" s="32" t="s">
        <v>23</v>
      </c>
      <c r="D284" s="50">
        <v>7.5</v>
      </c>
      <c r="E284" s="49" t="s">
        <v>24</v>
      </c>
      <c r="F284" s="68">
        <v>1.0</v>
      </c>
      <c r="G284" s="82"/>
      <c r="H284" s="52"/>
      <c r="I284" s="1"/>
      <c r="K284" s="53"/>
      <c r="O284" s="54"/>
      <c r="R284" s="53"/>
    </row>
    <row r="285">
      <c r="A285" s="86">
        <v>45797.0</v>
      </c>
      <c r="B285" s="49" t="s">
        <v>268</v>
      </c>
      <c r="C285" s="32" t="s">
        <v>23</v>
      </c>
      <c r="D285" s="50">
        <v>6.5</v>
      </c>
      <c r="E285" s="49" t="s">
        <v>24</v>
      </c>
      <c r="F285" s="49">
        <v>1.0</v>
      </c>
      <c r="G285" s="82"/>
      <c r="H285" s="52"/>
      <c r="I285" s="1"/>
      <c r="K285" s="53"/>
      <c r="O285" s="54"/>
      <c r="R285" s="53"/>
    </row>
    <row r="286">
      <c r="A286" s="86">
        <v>45797.0</v>
      </c>
      <c r="B286" s="49" t="s">
        <v>268</v>
      </c>
      <c r="C286" s="32" t="s">
        <v>23</v>
      </c>
      <c r="D286" s="50">
        <v>6.5</v>
      </c>
      <c r="E286" s="49" t="s">
        <v>24</v>
      </c>
      <c r="F286" s="49">
        <v>1.0</v>
      </c>
      <c r="G286" s="82"/>
      <c r="H286" s="52"/>
      <c r="I286" s="1"/>
      <c r="K286" s="53"/>
      <c r="O286" s="54"/>
      <c r="R286" s="53"/>
    </row>
    <row r="287">
      <c r="A287" s="86">
        <v>45797.0</v>
      </c>
      <c r="B287" s="49" t="s">
        <v>355</v>
      </c>
      <c r="C287" s="32" t="s">
        <v>23</v>
      </c>
      <c r="D287" s="50">
        <v>117.0</v>
      </c>
      <c r="E287" s="49" t="s">
        <v>24</v>
      </c>
      <c r="F287" s="49">
        <v>15.0</v>
      </c>
      <c r="G287" s="82"/>
      <c r="H287" s="52"/>
      <c r="I287" s="1"/>
      <c r="K287" s="53"/>
      <c r="O287" s="54"/>
      <c r="R287" s="53"/>
    </row>
    <row r="288">
      <c r="A288" s="86">
        <v>45797.0</v>
      </c>
      <c r="B288" s="49" t="s">
        <v>290</v>
      </c>
      <c r="C288" s="32" t="s">
        <v>23</v>
      </c>
      <c r="D288" s="50">
        <v>8.0</v>
      </c>
      <c r="E288" s="49" t="s">
        <v>24</v>
      </c>
      <c r="F288" s="49">
        <v>1.0</v>
      </c>
      <c r="G288" s="82"/>
      <c r="H288" s="52"/>
      <c r="I288" s="1"/>
      <c r="K288" s="53"/>
      <c r="O288" s="54"/>
      <c r="R288" s="53"/>
    </row>
    <row r="289">
      <c r="A289" s="86">
        <v>45797.0</v>
      </c>
      <c r="B289" s="49" t="s">
        <v>52</v>
      </c>
      <c r="C289" s="32" t="s">
        <v>23</v>
      </c>
      <c r="D289" s="50">
        <v>40.0</v>
      </c>
      <c r="E289" s="49" t="s">
        <v>24</v>
      </c>
      <c r="F289" s="49">
        <v>5.0</v>
      </c>
      <c r="G289" s="82"/>
      <c r="H289" s="52"/>
      <c r="I289" s="1"/>
      <c r="K289" s="53"/>
      <c r="O289" s="54"/>
      <c r="R289" s="53"/>
    </row>
    <row r="290">
      <c r="A290" s="86">
        <v>45797.0</v>
      </c>
      <c r="B290" s="49" t="s">
        <v>290</v>
      </c>
      <c r="C290" s="32" t="s">
        <v>23</v>
      </c>
      <c r="D290" s="50">
        <v>8.0</v>
      </c>
      <c r="E290" s="49" t="s">
        <v>24</v>
      </c>
      <c r="F290" s="49">
        <v>1.0</v>
      </c>
      <c r="G290" s="82"/>
      <c r="H290" s="52"/>
      <c r="I290" s="1"/>
      <c r="K290" s="53"/>
      <c r="O290" s="54"/>
      <c r="R290" s="53"/>
    </row>
    <row r="291">
      <c r="A291" s="86">
        <v>45797.0</v>
      </c>
      <c r="B291" s="49" t="s">
        <v>359</v>
      </c>
      <c r="C291" s="32" t="s">
        <v>23</v>
      </c>
      <c r="D291" s="50">
        <v>16.0</v>
      </c>
      <c r="E291" s="49" t="s">
        <v>24</v>
      </c>
      <c r="F291" s="49">
        <v>2.0</v>
      </c>
      <c r="G291" s="82"/>
      <c r="H291" s="52"/>
      <c r="I291" s="1"/>
      <c r="K291" s="53"/>
      <c r="O291" s="54"/>
      <c r="R291" s="53"/>
    </row>
    <row r="292">
      <c r="A292" s="86">
        <v>45797.0</v>
      </c>
      <c r="B292" s="49" t="s">
        <v>281</v>
      </c>
      <c r="C292" s="32" t="s">
        <v>23</v>
      </c>
      <c r="D292" s="50">
        <v>12.0</v>
      </c>
      <c r="E292" s="49" t="s">
        <v>24</v>
      </c>
      <c r="F292" s="49">
        <v>1.0</v>
      </c>
      <c r="G292" s="82"/>
      <c r="H292" s="52"/>
      <c r="I292" s="1"/>
      <c r="K292" s="53"/>
      <c r="O292" s="54"/>
      <c r="R292" s="53"/>
    </row>
    <row r="293">
      <c r="A293" s="86">
        <v>45797.0</v>
      </c>
      <c r="B293" s="49" t="s">
        <v>362</v>
      </c>
      <c r="C293" s="32" t="s">
        <v>23</v>
      </c>
      <c r="D293" s="50">
        <v>64.0</v>
      </c>
      <c r="E293" s="49" t="s">
        <v>24</v>
      </c>
      <c r="F293" s="49">
        <v>8.0</v>
      </c>
      <c r="G293" s="82"/>
      <c r="H293" s="52"/>
      <c r="I293" s="1"/>
      <c r="K293" s="53"/>
      <c r="O293" s="54"/>
      <c r="R293" s="53"/>
    </row>
    <row r="294">
      <c r="A294" s="86">
        <v>45797.0</v>
      </c>
      <c r="B294" s="49" t="s">
        <v>270</v>
      </c>
      <c r="C294" s="32" t="s">
        <v>23</v>
      </c>
      <c r="D294" s="50">
        <v>12.0</v>
      </c>
      <c r="E294" s="49" t="s">
        <v>24</v>
      </c>
      <c r="F294" s="49">
        <v>2.0</v>
      </c>
      <c r="G294" s="82"/>
      <c r="H294" s="52"/>
      <c r="I294" s="1"/>
      <c r="K294" s="53"/>
      <c r="O294" s="54"/>
      <c r="R294" s="53"/>
    </row>
    <row r="295">
      <c r="A295" s="86">
        <v>45797.0</v>
      </c>
      <c r="B295" s="49" t="s">
        <v>270</v>
      </c>
      <c r="C295" s="32" t="s">
        <v>23</v>
      </c>
      <c r="D295" s="50">
        <v>12.0</v>
      </c>
      <c r="E295" s="49" t="s">
        <v>24</v>
      </c>
      <c r="F295" s="49">
        <v>2.0</v>
      </c>
      <c r="G295" s="82"/>
      <c r="H295" s="52"/>
      <c r="I295" s="1"/>
      <c r="K295" s="53"/>
      <c r="O295" s="54"/>
      <c r="R295" s="53"/>
    </row>
    <row r="296">
      <c r="A296" s="86">
        <v>45797.0</v>
      </c>
      <c r="B296" s="49" t="s">
        <v>270</v>
      </c>
      <c r="C296" s="32" t="s">
        <v>23</v>
      </c>
      <c r="D296" s="50">
        <v>12.0</v>
      </c>
      <c r="E296" s="49" t="s">
        <v>24</v>
      </c>
      <c r="F296" s="49">
        <v>2.0</v>
      </c>
      <c r="G296" s="82"/>
      <c r="H296" s="52"/>
      <c r="I296" s="1"/>
      <c r="K296" s="53"/>
      <c r="O296" s="54"/>
      <c r="R296" s="53"/>
    </row>
    <row r="297">
      <c r="A297" s="86">
        <v>45797.0</v>
      </c>
      <c r="B297" s="49" t="s">
        <v>363</v>
      </c>
      <c r="C297" s="32" t="s">
        <v>23</v>
      </c>
      <c r="D297" s="50">
        <v>18.0</v>
      </c>
      <c r="E297" s="49" t="s">
        <v>24</v>
      </c>
      <c r="F297" s="49">
        <v>3.0</v>
      </c>
      <c r="G297" s="82"/>
      <c r="H297" s="52"/>
      <c r="I297" s="1"/>
      <c r="K297" s="53"/>
      <c r="O297" s="54"/>
      <c r="R297" s="53"/>
    </row>
    <row r="298">
      <c r="A298" s="86">
        <v>45797.0</v>
      </c>
      <c r="B298" s="49" t="s">
        <v>364</v>
      </c>
      <c r="C298" s="32" t="s">
        <v>23</v>
      </c>
      <c r="D298" s="50">
        <v>6.0</v>
      </c>
      <c r="E298" s="49" t="s">
        <v>24</v>
      </c>
      <c r="F298" s="49">
        <v>1.0</v>
      </c>
      <c r="G298" s="82"/>
      <c r="H298" s="52"/>
      <c r="I298" s="1"/>
      <c r="K298" s="53"/>
      <c r="O298" s="54"/>
      <c r="R298" s="53"/>
    </row>
    <row r="299">
      <c r="A299" s="86">
        <v>45797.0</v>
      </c>
      <c r="B299" s="49" t="s">
        <v>268</v>
      </c>
      <c r="C299" s="32" t="s">
        <v>23</v>
      </c>
      <c r="D299" s="50">
        <v>6.5</v>
      </c>
      <c r="E299" s="49" t="s">
        <v>24</v>
      </c>
      <c r="F299" s="49">
        <v>1.0</v>
      </c>
      <c r="G299" s="82"/>
      <c r="H299" s="52"/>
      <c r="I299" s="1"/>
      <c r="K299" s="53"/>
      <c r="O299" s="54"/>
      <c r="R299" s="53"/>
    </row>
    <row r="300">
      <c r="A300" s="86">
        <v>45797.0</v>
      </c>
      <c r="B300" s="49" t="s">
        <v>364</v>
      </c>
      <c r="C300" s="32" t="s">
        <v>23</v>
      </c>
      <c r="D300" s="50">
        <v>18.0</v>
      </c>
      <c r="E300" s="49" t="s">
        <v>24</v>
      </c>
      <c r="F300" s="49">
        <v>3.0</v>
      </c>
      <c r="G300" s="82"/>
      <c r="H300" s="52"/>
      <c r="I300" s="1"/>
      <c r="K300" s="53"/>
      <c r="O300" s="54"/>
      <c r="R300" s="53"/>
    </row>
    <row r="301">
      <c r="A301" s="86">
        <v>45797.0</v>
      </c>
      <c r="B301" s="49" t="s">
        <v>364</v>
      </c>
      <c r="C301" s="32" t="s">
        <v>23</v>
      </c>
      <c r="D301" s="50">
        <v>18.0</v>
      </c>
      <c r="E301" s="49" t="s">
        <v>24</v>
      </c>
      <c r="F301" s="49">
        <v>3.0</v>
      </c>
      <c r="G301" s="82"/>
      <c r="H301" s="52"/>
      <c r="I301" s="1"/>
      <c r="K301" s="53"/>
      <c r="O301" s="54"/>
      <c r="R301" s="53"/>
    </row>
    <row r="302">
      <c r="A302" s="86">
        <v>45797.0</v>
      </c>
      <c r="B302" s="49" t="s">
        <v>364</v>
      </c>
      <c r="C302" s="32" t="s">
        <v>23</v>
      </c>
      <c r="D302" s="50">
        <v>6.0</v>
      </c>
      <c r="E302" s="49" t="s">
        <v>24</v>
      </c>
      <c r="F302" s="49">
        <v>1.0</v>
      </c>
      <c r="G302" s="82"/>
      <c r="H302" s="52"/>
      <c r="I302" s="1"/>
      <c r="K302" s="53"/>
      <c r="O302" s="54"/>
      <c r="R302" s="53"/>
    </row>
    <row r="303">
      <c r="A303" s="86">
        <v>45797.0</v>
      </c>
      <c r="B303" s="49" t="s">
        <v>364</v>
      </c>
      <c r="C303" s="32" t="s">
        <v>23</v>
      </c>
      <c r="D303" s="50">
        <v>6.0</v>
      </c>
      <c r="E303" s="49" t="s">
        <v>24</v>
      </c>
      <c r="F303" s="49">
        <v>1.0</v>
      </c>
      <c r="G303" s="82"/>
      <c r="H303" s="52"/>
      <c r="I303" s="1"/>
      <c r="K303" s="53"/>
      <c r="O303" s="54"/>
      <c r="R303" s="53"/>
    </row>
    <row r="304">
      <c r="A304" s="86">
        <v>45797.0</v>
      </c>
      <c r="B304" s="49" t="s">
        <v>364</v>
      </c>
      <c r="C304" s="32" t="s">
        <v>23</v>
      </c>
      <c r="D304" s="50">
        <v>6.0</v>
      </c>
      <c r="E304" s="49" t="s">
        <v>24</v>
      </c>
      <c r="F304" s="49">
        <v>1.0</v>
      </c>
      <c r="G304" s="82"/>
      <c r="H304" s="52"/>
      <c r="I304" s="1"/>
      <c r="K304" s="53"/>
      <c r="O304" s="54"/>
      <c r="R304" s="53"/>
    </row>
    <row r="305">
      <c r="A305" s="86">
        <v>45797.0</v>
      </c>
      <c r="B305" s="49" t="s">
        <v>277</v>
      </c>
      <c r="C305" s="32" t="s">
        <v>23</v>
      </c>
      <c r="D305" s="50">
        <v>7.5</v>
      </c>
      <c r="E305" s="49" t="s">
        <v>24</v>
      </c>
      <c r="F305" s="49">
        <v>1.0</v>
      </c>
      <c r="G305" s="82"/>
      <c r="H305" s="52"/>
      <c r="I305" s="1"/>
      <c r="K305" s="53"/>
      <c r="O305" s="54"/>
      <c r="R305" s="53"/>
    </row>
    <row r="306">
      <c r="A306" s="86">
        <v>45797.0</v>
      </c>
      <c r="B306" s="49" t="s">
        <v>290</v>
      </c>
      <c r="C306" s="32" t="s">
        <v>23</v>
      </c>
      <c r="D306" s="50">
        <v>8.0</v>
      </c>
      <c r="E306" s="49" t="s">
        <v>24</v>
      </c>
      <c r="F306" s="49">
        <v>1.0</v>
      </c>
      <c r="G306" s="82"/>
      <c r="H306" s="52"/>
      <c r="I306" s="1"/>
      <c r="K306" s="53"/>
      <c r="O306" s="54"/>
      <c r="R306" s="53"/>
    </row>
    <row r="307">
      <c r="A307" s="86">
        <v>45797.0</v>
      </c>
      <c r="B307" s="49" t="s">
        <v>268</v>
      </c>
      <c r="C307" s="32" t="s">
        <v>23</v>
      </c>
      <c r="D307" s="50">
        <v>6.5</v>
      </c>
      <c r="E307" s="49" t="s">
        <v>24</v>
      </c>
      <c r="F307" s="49">
        <v>1.0</v>
      </c>
      <c r="G307" s="82"/>
      <c r="H307" s="52"/>
      <c r="I307" s="1"/>
      <c r="K307" s="53"/>
      <c r="O307" s="54"/>
      <c r="R307" s="53"/>
    </row>
    <row r="308">
      <c r="A308" s="86">
        <v>45797.0</v>
      </c>
      <c r="B308" s="49" t="s">
        <v>314</v>
      </c>
      <c r="C308" s="32" t="s">
        <v>23</v>
      </c>
      <c r="D308" s="50">
        <v>8.0</v>
      </c>
      <c r="E308" s="49" t="s">
        <v>24</v>
      </c>
      <c r="F308" s="49">
        <v>1.0</v>
      </c>
      <c r="G308" s="82"/>
      <c r="H308" s="52"/>
      <c r="I308" s="1"/>
      <c r="K308" s="53"/>
      <c r="O308" s="54"/>
      <c r="R308" s="53"/>
    </row>
    <row r="309">
      <c r="A309" s="86">
        <v>45797.0</v>
      </c>
      <c r="B309" s="49" t="s">
        <v>281</v>
      </c>
      <c r="C309" s="32" t="s">
        <v>23</v>
      </c>
      <c r="D309" s="50">
        <v>12.0</v>
      </c>
      <c r="E309" s="49" t="s">
        <v>24</v>
      </c>
      <c r="F309" s="49">
        <v>2.0</v>
      </c>
      <c r="G309" s="82"/>
      <c r="H309" s="52"/>
      <c r="I309" s="1"/>
      <c r="K309" s="53"/>
      <c r="O309" s="54"/>
      <c r="R309" s="53"/>
    </row>
    <row r="310">
      <c r="A310" s="86">
        <v>45797.0</v>
      </c>
      <c r="B310" s="49" t="s">
        <v>281</v>
      </c>
      <c r="C310" s="32" t="s">
        <v>23</v>
      </c>
      <c r="D310" s="50">
        <v>12.0</v>
      </c>
      <c r="E310" s="49" t="s">
        <v>24</v>
      </c>
      <c r="F310" s="49">
        <v>2.0</v>
      </c>
      <c r="G310" s="82"/>
      <c r="H310" s="52"/>
      <c r="I310" s="1"/>
      <c r="K310" s="53"/>
      <c r="O310" s="54"/>
      <c r="R310" s="53"/>
    </row>
    <row r="311">
      <c r="A311" s="86">
        <v>45797.0</v>
      </c>
      <c r="B311" s="49" t="s">
        <v>368</v>
      </c>
      <c r="C311" s="32" t="s">
        <v>23</v>
      </c>
      <c r="D311" s="50">
        <v>32.0</v>
      </c>
      <c r="E311" s="49" t="s">
        <v>24</v>
      </c>
      <c r="F311" s="49">
        <v>4.0</v>
      </c>
      <c r="G311" s="82"/>
      <c r="H311" s="52"/>
      <c r="I311" s="1"/>
      <c r="K311" s="53"/>
      <c r="O311" s="54"/>
      <c r="R311" s="53"/>
    </row>
    <row r="312">
      <c r="A312" s="86">
        <v>45797.0</v>
      </c>
      <c r="B312" s="49" t="s">
        <v>281</v>
      </c>
      <c r="C312" s="32" t="s">
        <v>23</v>
      </c>
      <c r="D312" s="50">
        <v>12.0</v>
      </c>
      <c r="E312" s="49" t="s">
        <v>24</v>
      </c>
      <c r="F312" s="49">
        <v>2.0</v>
      </c>
      <c r="G312" s="82"/>
      <c r="H312" s="52"/>
      <c r="I312" s="1"/>
      <c r="K312" s="53"/>
      <c r="O312" s="54"/>
      <c r="R312" s="53"/>
    </row>
    <row r="313">
      <c r="A313" s="86">
        <v>45797.0</v>
      </c>
      <c r="B313" s="49" t="s">
        <v>281</v>
      </c>
      <c r="C313" s="32" t="s">
        <v>23</v>
      </c>
      <c r="D313" s="50">
        <v>12.0</v>
      </c>
      <c r="E313" s="49" t="s">
        <v>24</v>
      </c>
      <c r="F313" s="49">
        <v>2.0</v>
      </c>
      <c r="G313" s="82"/>
      <c r="H313" s="52"/>
      <c r="I313" s="1"/>
      <c r="K313" s="53"/>
      <c r="O313" s="54"/>
      <c r="R313" s="53"/>
    </row>
    <row r="314">
      <c r="A314" s="86">
        <v>45797.0</v>
      </c>
      <c r="B314" s="49" t="s">
        <v>370</v>
      </c>
      <c r="C314" s="32" t="s">
        <v>64</v>
      </c>
      <c r="D314" s="50">
        <v>53.37</v>
      </c>
      <c r="E314" s="49" t="s">
        <v>24</v>
      </c>
      <c r="F314" s="49">
        <v>0.0</v>
      </c>
      <c r="G314" s="82"/>
      <c r="H314" s="52"/>
      <c r="I314" s="1"/>
      <c r="K314" s="53"/>
      <c r="O314" s="54"/>
      <c r="R314" s="53"/>
    </row>
    <row r="315">
      <c r="A315" s="86">
        <v>45797.0</v>
      </c>
      <c r="B315" s="49" t="s">
        <v>370</v>
      </c>
      <c r="C315" s="32" t="s">
        <v>64</v>
      </c>
      <c r="D315" s="50">
        <v>91.69</v>
      </c>
      <c r="E315" s="49" t="s">
        <v>24</v>
      </c>
      <c r="F315" s="49">
        <v>0.0</v>
      </c>
      <c r="G315" s="82"/>
      <c r="H315" s="52"/>
      <c r="I315" s="1"/>
      <c r="K315" s="53"/>
      <c r="O315" s="54"/>
      <c r="R315" s="53"/>
    </row>
    <row r="316">
      <c r="A316" s="86">
        <v>45797.0</v>
      </c>
      <c r="B316" s="49" t="s">
        <v>279</v>
      </c>
      <c r="C316" s="32" t="s">
        <v>23</v>
      </c>
      <c r="D316" s="50">
        <v>6.5</v>
      </c>
      <c r="E316" s="49" t="s">
        <v>24</v>
      </c>
      <c r="F316" s="49">
        <v>1.0</v>
      </c>
      <c r="G316" s="82"/>
      <c r="H316" s="52"/>
      <c r="I316" s="1"/>
      <c r="K316" s="53"/>
      <c r="O316" s="54"/>
      <c r="R316" s="53"/>
    </row>
    <row r="317">
      <c r="A317" s="86">
        <v>45797.0</v>
      </c>
      <c r="B317" s="49" t="s">
        <v>279</v>
      </c>
      <c r="C317" s="32" t="s">
        <v>23</v>
      </c>
      <c r="D317" s="50">
        <v>6.5</v>
      </c>
      <c r="E317" s="49" t="s">
        <v>24</v>
      </c>
      <c r="F317" s="49">
        <v>1.0</v>
      </c>
      <c r="G317" s="82"/>
      <c r="H317" s="52"/>
      <c r="I317" s="1"/>
      <c r="K317" s="53"/>
      <c r="O317" s="54"/>
      <c r="R317" s="53"/>
    </row>
    <row r="318">
      <c r="A318" s="86">
        <v>45797.0</v>
      </c>
      <c r="B318" s="49" t="s">
        <v>279</v>
      </c>
      <c r="C318" s="32" t="s">
        <v>23</v>
      </c>
      <c r="D318" s="50">
        <v>6.5</v>
      </c>
      <c r="E318" s="49" t="s">
        <v>24</v>
      </c>
      <c r="F318" s="49">
        <v>1.0</v>
      </c>
      <c r="G318" s="82"/>
      <c r="H318" s="52"/>
      <c r="I318" s="1"/>
      <c r="K318" s="53"/>
      <c r="O318" s="54"/>
      <c r="R318" s="53"/>
    </row>
    <row r="319">
      <c r="A319" s="86">
        <v>45797.0</v>
      </c>
      <c r="B319" s="49" t="s">
        <v>279</v>
      </c>
      <c r="C319" s="32" t="s">
        <v>23</v>
      </c>
      <c r="D319" s="50">
        <v>6.5</v>
      </c>
      <c r="E319" s="49" t="s">
        <v>24</v>
      </c>
      <c r="F319" s="49">
        <v>1.0</v>
      </c>
      <c r="G319" s="82"/>
      <c r="H319" s="52"/>
      <c r="I319" s="1"/>
      <c r="K319" s="53"/>
      <c r="O319" s="54"/>
      <c r="R319" s="53"/>
    </row>
    <row r="320">
      <c r="A320" s="86">
        <v>45797.0</v>
      </c>
      <c r="B320" s="49" t="s">
        <v>371</v>
      </c>
      <c r="C320" s="32" t="s">
        <v>64</v>
      </c>
      <c r="D320" s="50">
        <v>2.0</v>
      </c>
      <c r="E320" s="49" t="s">
        <v>24</v>
      </c>
      <c r="F320" s="49">
        <v>0.0</v>
      </c>
      <c r="G320" s="82"/>
      <c r="H320" s="52"/>
      <c r="I320" s="1"/>
      <c r="K320" s="53"/>
      <c r="O320" s="54"/>
      <c r="R320" s="53"/>
    </row>
    <row r="321">
      <c r="A321" s="86">
        <v>45797.0</v>
      </c>
      <c r="B321" s="49" t="s">
        <v>373</v>
      </c>
      <c r="C321" s="32" t="s">
        <v>23</v>
      </c>
      <c r="D321" s="50">
        <v>14.0</v>
      </c>
      <c r="E321" s="49" t="s">
        <v>24</v>
      </c>
      <c r="F321" s="49">
        <v>2.0</v>
      </c>
      <c r="G321" s="82"/>
      <c r="H321" s="52"/>
      <c r="I321" s="1"/>
      <c r="K321" s="53"/>
      <c r="O321" s="54"/>
      <c r="R321" s="53"/>
    </row>
    <row r="322">
      <c r="A322" s="86">
        <v>45797.0</v>
      </c>
      <c r="B322" s="49" t="s">
        <v>279</v>
      </c>
      <c r="C322" s="32" t="s">
        <v>23</v>
      </c>
      <c r="D322" s="50">
        <v>6.5</v>
      </c>
      <c r="E322" s="49" t="s">
        <v>24</v>
      </c>
      <c r="F322" s="49">
        <v>1.0</v>
      </c>
      <c r="G322" s="82"/>
      <c r="H322" s="52"/>
      <c r="I322" s="1"/>
      <c r="K322" s="53"/>
      <c r="O322" s="54"/>
      <c r="R322" s="53"/>
    </row>
    <row r="323">
      <c r="A323" s="86">
        <v>45797.0</v>
      </c>
      <c r="B323" s="49" t="s">
        <v>279</v>
      </c>
      <c r="C323" s="32" t="s">
        <v>23</v>
      </c>
      <c r="D323" s="50">
        <v>6.5</v>
      </c>
      <c r="E323" s="49" t="s">
        <v>24</v>
      </c>
      <c r="F323" s="49">
        <v>1.0</v>
      </c>
      <c r="G323" s="82"/>
      <c r="H323" s="52"/>
      <c r="I323" s="1"/>
      <c r="K323" s="53"/>
      <c r="O323" s="54"/>
      <c r="R323" s="53"/>
    </row>
    <row r="324">
      <c r="A324" s="86">
        <v>45797.0</v>
      </c>
      <c r="B324" s="49" t="s">
        <v>375</v>
      </c>
      <c r="C324" s="32" t="s">
        <v>23</v>
      </c>
      <c r="D324" s="50">
        <v>600.0</v>
      </c>
      <c r="E324" s="49" t="s">
        <v>24</v>
      </c>
      <c r="F324" s="49">
        <v>100.0</v>
      </c>
      <c r="G324" s="82"/>
      <c r="H324" s="52"/>
      <c r="I324" s="1"/>
      <c r="K324" s="53"/>
      <c r="O324" s="54"/>
      <c r="R324" s="53"/>
    </row>
    <row r="325">
      <c r="A325" s="86">
        <v>45796.0</v>
      </c>
      <c r="B325" s="49" t="s">
        <v>377</v>
      </c>
      <c r="C325" s="32" t="s">
        <v>64</v>
      </c>
      <c r="D325" s="50">
        <v>382.03</v>
      </c>
      <c r="E325" s="49" t="s">
        <v>24</v>
      </c>
      <c r="F325" s="49">
        <v>0.0</v>
      </c>
      <c r="G325" s="82"/>
      <c r="H325" s="52"/>
      <c r="I325" s="1"/>
      <c r="K325" s="53"/>
      <c r="O325" s="54"/>
      <c r="R325" s="53"/>
    </row>
    <row r="326">
      <c r="A326" s="86">
        <v>45796.0</v>
      </c>
      <c r="B326" s="49" t="s">
        <v>378</v>
      </c>
      <c r="C326" s="32" t="s">
        <v>64</v>
      </c>
      <c r="D326" s="50">
        <v>92.02</v>
      </c>
      <c r="E326" s="49" t="s">
        <v>24</v>
      </c>
      <c r="F326" s="49">
        <v>0.0</v>
      </c>
      <c r="G326" s="82"/>
      <c r="H326" s="52"/>
      <c r="I326" s="1"/>
      <c r="K326" s="53"/>
      <c r="O326" s="54"/>
      <c r="R326" s="53"/>
    </row>
    <row r="327">
      <c r="A327" s="86">
        <v>45796.0</v>
      </c>
      <c r="B327" s="49" t="s">
        <v>277</v>
      </c>
      <c r="C327" s="32" t="s">
        <v>23</v>
      </c>
      <c r="D327" s="50">
        <v>7.5</v>
      </c>
      <c r="E327" s="49" t="s">
        <v>24</v>
      </c>
      <c r="F327" s="49">
        <v>1.0</v>
      </c>
      <c r="G327" s="82"/>
      <c r="H327" s="52"/>
      <c r="I327" s="1"/>
      <c r="K327" s="53"/>
      <c r="O327" s="54"/>
      <c r="R327" s="53"/>
    </row>
    <row r="328">
      <c r="A328" s="86">
        <v>45796.0</v>
      </c>
      <c r="B328" s="49" t="s">
        <v>279</v>
      </c>
      <c r="C328" s="32" t="s">
        <v>23</v>
      </c>
      <c r="D328" s="50">
        <v>6.5</v>
      </c>
      <c r="E328" s="49" t="s">
        <v>24</v>
      </c>
      <c r="F328" s="49">
        <v>1.0</v>
      </c>
      <c r="G328" s="82"/>
      <c r="H328" s="52"/>
      <c r="I328" s="1"/>
      <c r="K328" s="53"/>
      <c r="O328" s="54"/>
      <c r="R328" s="53"/>
    </row>
    <row r="329">
      <c r="A329" s="86">
        <v>45796.0</v>
      </c>
      <c r="B329" s="49" t="s">
        <v>270</v>
      </c>
      <c r="C329" s="32" t="s">
        <v>23</v>
      </c>
      <c r="D329" s="50">
        <v>12.0</v>
      </c>
      <c r="E329" s="49" t="s">
        <v>24</v>
      </c>
      <c r="F329" s="49">
        <v>2.0</v>
      </c>
      <c r="G329" s="82"/>
      <c r="H329" s="52"/>
      <c r="I329" s="1"/>
      <c r="K329" s="53"/>
      <c r="O329" s="54"/>
      <c r="R329" s="53"/>
    </row>
    <row r="330">
      <c r="A330" s="86">
        <v>45796.0</v>
      </c>
      <c r="B330" s="49" t="s">
        <v>313</v>
      </c>
      <c r="C330" s="32" t="s">
        <v>23</v>
      </c>
      <c r="D330" s="50">
        <v>26.0</v>
      </c>
      <c r="E330" s="49" t="s">
        <v>24</v>
      </c>
      <c r="F330" s="49">
        <v>4.0</v>
      </c>
      <c r="G330" s="82"/>
      <c r="H330" s="52"/>
      <c r="I330" s="1"/>
      <c r="K330" s="53"/>
      <c r="O330" s="54"/>
      <c r="R330" s="53"/>
    </row>
    <row r="331">
      <c r="A331" s="86">
        <v>45796.0</v>
      </c>
      <c r="B331" s="49" t="s">
        <v>281</v>
      </c>
      <c r="C331" s="32" t="s">
        <v>23</v>
      </c>
      <c r="D331" s="50">
        <v>12.0</v>
      </c>
      <c r="E331" s="49" t="s">
        <v>24</v>
      </c>
      <c r="F331" s="49">
        <v>1.0</v>
      </c>
      <c r="G331" s="82"/>
      <c r="H331" s="52"/>
      <c r="I331" s="1"/>
      <c r="K331" s="53"/>
      <c r="O331" s="54"/>
      <c r="R331" s="53"/>
    </row>
    <row r="332">
      <c r="A332" s="86">
        <v>45796.0</v>
      </c>
      <c r="B332" s="49" t="s">
        <v>380</v>
      </c>
      <c r="C332" s="32" t="s">
        <v>23</v>
      </c>
      <c r="D332" s="50">
        <v>19.5</v>
      </c>
      <c r="E332" s="49" t="s">
        <v>24</v>
      </c>
      <c r="F332" s="49">
        <v>3.0</v>
      </c>
      <c r="G332" s="82"/>
      <c r="H332" s="52"/>
      <c r="I332" s="1"/>
      <c r="K332" s="53"/>
      <c r="O332" s="54"/>
      <c r="R332" s="53"/>
    </row>
    <row r="333">
      <c r="A333" s="86">
        <v>45796.0</v>
      </c>
      <c r="B333" s="49" t="s">
        <v>382</v>
      </c>
      <c r="C333" s="32" t="s">
        <v>23</v>
      </c>
      <c r="D333" s="50">
        <v>6.5</v>
      </c>
      <c r="E333" s="49" t="s">
        <v>24</v>
      </c>
      <c r="F333" s="49">
        <v>1.0</v>
      </c>
      <c r="G333" s="82"/>
      <c r="H333" s="52"/>
      <c r="I333" s="1"/>
      <c r="K333" s="53"/>
      <c r="O333" s="54"/>
      <c r="R333" s="53"/>
    </row>
    <row r="334">
      <c r="A334" s="86">
        <v>45796.0</v>
      </c>
      <c r="B334" s="49" t="s">
        <v>383</v>
      </c>
      <c r="C334" s="32" t="s">
        <v>23</v>
      </c>
      <c r="D334" s="50">
        <v>32.5</v>
      </c>
      <c r="E334" s="49" t="s">
        <v>24</v>
      </c>
      <c r="F334" s="49">
        <v>5.0</v>
      </c>
      <c r="G334" s="82"/>
      <c r="H334" s="52"/>
      <c r="I334" s="1"/>
      <c r="K334" s="53"/>
      <c r="O334" s="54"/>
      <c r="R334" s="53"/>
    </row>
    <row r="335">
      <c r="A335" s="86">
        <v>45796.0</v>
      </c>
      <c r="B335" s="49" t="s">
        <v>380</v>
      </c>
      <c r="C335" s="32" t="s">
        <v>23</v>
      </c>
      <c r="D335" s="50">
        <v>19.5</v>
      </c>
      <c r="E335" s="49" t="s">
        <v>24</v>
      </c>
      <c r="F335" s="49">
        <v>3.0</v>
      </c>
      <c r="G335" s="82"/>
      <c r="H335" s="52"/>
      <c r="I335" s="1"/>
      <c r="K335" s="53"/>
      <c r="O335" s="54"/>
      <c r="R335" s="53"/>
    </row>
    <row r="336">
      <c r="A336" s="86">
        <v>45796.0</v>
      </c>
      <c r="B336" s="49" t="s">
        <v>384</v>
      </c>
      <c r="C336" s="32" t="s">
        <v>23</v>
      </c>
      <c r="D336" s="50">
        <v>15.0</v>
      </c>
      <c r="E336" s="49" t="s">
        <v>24</v>
      </c>
      <c r="F336" s="49">
        <v>2.0</v>
      </c>
      <c r="G336" s="82"/>
      <c r="H336" s="52"/>
      <c r="I336" s="1"/>
      <c r="K336" s="53"/>
      <c r="O336" s="54"/>
      <c r="R336" s="53"/>
    </row>
    <row r="337">
      <c r="A337" s="86">
        <v>45796.0</v>
      </c>
      <c r="B337" s="49" t="s">
        <v>248</v>
      </c>
      <c r="C337" s="32" t="s">
        <v>23</v>
      </c>
      <c r="D337" s="50">
        <v>7.5</v>
      </c>
      <c r="E337" s="49" t="s">
        <v>24</v>
      </c>
      <c r="F337" s="49">
        <v>1.0</v>
      </c>
      <c r="G337" s="82"/>
      <c r="H337" s="52"/>
      <c r="I337" s="1"/>
      <c r="K337" s="53"/>
      <c r="O337" s="54"/>
      <c r="R337" s="53"/>
    </row>
    <row r="338">
      <c r="A338" s="86">
        <v>45796.0</v>
      </c>
      <c r="B338" s="49" t="s">
        <v>268</v>
      </c>
      <c r="C338" s="32" t="s">
        <v>23</v>
      </c>
      <c r="D338" s="50">
        <v>6.5</v>
      </c>
      <c r="E338" s="49" t="s">
        <v>24</v>
      </c>
      <c r="F338" s="49">
        <v>1.0</v>
      </c>
      <c r="G338" s="82"/>
      <c r="H338" s="52"/>
      <c r="I338" s="1"/>
      <c r="K338" s="53"/>
      <c r="O338" s="54"/>
      <c r="R338" s="53"/>
    </row>
    <row r="339">
      <c r="A339" s="86">
        <v>45796.0</v>
      </c>
      <c r="B339" s="49" t="s">
        <v>60</v>
      </c>
      <c r="C339" s="32" t="s">
        <v>23</v>
      </c>
      <c r="D339" s="50">
        <v>24.0</v>
      </c>
      <c r="E339" s="49" t="s">
        <v>24</v>
      </c>
      <c r="F339" s="49">
        <v>4.0</v>
      </c>
      <c r="G339" s="82"/>
      <c r="H339" s="52"/>
      <c r="I339" s="1"/>
      <c r="K339" s="53"/>
      <c r="O339" s="54"/>
      <c r="R339" s="53"/>
    </row>
    <row r="340">
      <c r="A340" s="86">
        <v>45796.0</v>
      </c>
      <c r="B340" s="49" t="s">
        <v>270</v>
      </c>
      <c r="C340" s="32" t="s">
        <v>23</v>
      </c>
      <c r="D340" s="50">
        <v>12.0</v>
      </c>
      <c r="E340" s="49" t="s">
        <v>24</v>
      </c>
      <c r="F340" s="49">
        <v>2.0</v>
      </c>
      <c r="G340" s="82"/>
      <c r="H340" s="52"/>
      <c r="I340" s="1"/>
      <c r="K340" s="53"/>
      <c r="O340" s="54"/>
      <c r="R340" s="53"/>
    </row>
    <row r="341">
      <c r="A341" s="86">
        <v>45796.0</v>
      </c>
      <c r="B341" s="49" t="s">
        <v>387</v>
      </c>
      <c r="C341" s="32" t="s">
        <v>23</v>
      </c>
      <c r="D341" s="50">
        <v>36.0</v>
      </c>
      <c r="E341" s="49" t="s">
        <v>24</v>
      </c>
      <c r="F341" s="49">
        <v>6.0</v>
      </c>
      <c r="G341" s="82"/>
      <c r="H341" s="52"/>
      <c r="I341" s="1"/>
      <c r="K341" s="53"/>
      <c r="O341" s="54"/>
      <c r="R341" s="53"/>
    </row>
    <row r="342">
      <c r="A342" s="86">
        <v>45796.0</v>
      </c>
      <c r="B342" s="49" t="s">
        <v>270</v>
      </c>
      <c r="C342" s="32" t="s">
        <v>23</v>
      </c>
      <c r="D342" s="50">
        <v>12.0</v>
      </c>
      <c r="E342" s="49" t="s">
        <v>24</v>
      </c>
      <c r="F342" s="49">
        <v>2.0</v>
      </c>
      <c r="G342" s="82"/>
      <c r="H342" s="52"/>
      <c r="I342" s="1"/>
      <c r="K342" s="53"/>
      <c r="O342" s="54"/>
      <c r="R342" s="53"/>
    </row>
    <row r="343">
      <c r="A343" s="86">
        <v>45796.0</v>
      </c>
      <c r="B343" s="49" t="s">
        <v>380</v>
      </c>
      <c r="C343" s="32" t="s">
        <v>23</v>
      </c>
      <c r="D343" s="50">
        <v>19.5</v>
      </c>
      <c r="E343" s="49" t="s">
        <v>24</v>
      </c>
      <c r="F343" s="49">
        <v>3.0</v>
      </c>
      <c r="G343" s="82"/>
      <c r="H343" s="52"/>
      <c r="I343" s="1"/>
      <c r="K343" s="53"/>
      <c r="O343" s="54"/>
      <c r="R343" s="53"/>
    </row>
    <row r="344">
      <c r="A344" s="86">
        <v>45796.0</v>
      </c>
      <c r="B344" s="49" t="s">
        <v>248</v>
      </c>
      <c r="C344" s="32" t="s">
        <v>23</v>
      </c>
      <c r="D344" s="50">
        <v>7.5</v>
      </c>
      <c r="E344" s="49" t="s">
        <v>24</v>
      </c>
      <c r="F344" s="49">
        <v>1.0</v>
      </c>
      <c r="G344" s="82"/>
      <c r="H344" s="52"/>
      <c r="I344" s="1"/>
      <c r="K344" s="53"/>
      <c r="O344" s="54"/>
      <c r="R344" s="53"/>
    </row>
    <row r="345">
      <c r="A345" s="86">
        <v>45796.0</v>
      </c>
      <c r="B345" s="49" t="s">
        <v>388</v>
      </c>
      <c r="C345" s="32" t="s">
        <v>64</v>
      </c>
      <c r="D345" s="50">
        <v>69.32</v>
      </c>
      <c r="E345" s="49" t="s">
        <v>24</v>
      </c>
      <c r="F345" s="49">
        <v>0.0</v>
      </c>
      <c r="G345" s="82"/>
      <c r="H345" s="52"/>
      <c r="I345" s="1"/>
      <c r="K345" s="53"/>
      <c r="O345" s="54"/>
      <c r="R345" s="53"/>
    </row>
    <row r="346">
      <c r="A346" s="86">
        <v>45796.0</v>
      </c>
      <c r="B346" s="49" t="s">
        <v>389</v>
      </c>
      <c r="C346" s="32" t="s">
        <v>23</v>
      </c>
      <c r="D346" s="50">
        <v>12.0</v>
      </c>
      <c r="E346" s="49" t="s">
        <v>24</v>
      </c>
      <c r="F346" s="49">
        <v>6.0</v>
      </c>
      <c r="G346" s="82"/>
      <c r="H346" s="52"/>
      <c r="I346" s="1"/>
      <c r="K346" s="53"/>
      <c r="O346" s="54"/>
      <c r="R346" s="53"/>
    </row>
    <row r="347">
      <c r="A347" s="86">
        <v>45796.0</v>
      </c>
      <c r="B347" s="49" t="s">
        <v>270</v>
      </c>
      <c r="C347" s="32" t="s">
        <v>23</v>
      </c>
      <c r="D347" s="50">
        <v>12.0</v>
      </c>
      <c r="E347" s="49" t="s">
        <v>24</v>
      </c>
      <c r="F347" s="49">
        <v>2.0</v>
      </c>
      <c r="G347" s="82"/>
      <c r="H347" s="52"/>
      <c r="I347" s="1"/>
      <c r="K347" s="53"/>
      <c r="O347" s="54"/>
      <c r="R347" s="53"/>
    </row>
    <row r="348">
      <c r="A348" s="86">
        <v>45796.0</v>
      </c>
      <c r="B348" s="49" t="s">
        <v>110</v>
      </c>
      <c r="C348" s="32" t="s">
        <v>23</v>
      </c>
      <c r="D348" s="50">
        <v>24.0</v>
      </c>
      <c r="E348" s="49" t="s">
        <v>24</v>
      </c>
      <c r="F348" s="49">
        <v>4.0</v>
      </c>
      <c r="G348" s="82"/>
      <c r="H348" s="52"/>
      <c r="I348" s="1"/>
      <c r="K348" s="53"/>
      <c r="O348" s="54"/>
      <c r="R348" s="53"/>
    </row>
    <row r="349">
      <c r="A349" s="86">
        <v>45796.0</v>
      </c>
      <c r="B349" s="49" t="s">
        <v>391</v>
      </c>
      <c r="C349" s="32" t="s">
        <v>23</v>
      </c>
      <c r="D349" s="50">
        <v>48.0</v>
      </c>
      <c r="E349" s="49" t="s">
        <v>24</v>
      </c>
      <c r="F349" s="49">
        <v>8.0</v>
      </c>
      <c r="G349" s="82"/>
      <c r="H349" s="52"/>
      <c r="I349" s="1"/>
      <c r="K349" s="53"/>
      <c r="O349" s="54"/>
      <c r="R349" s="53"/>
    </row>
    <row r="350">
      <c r="A350" s="86">
        <v>45796.0</v>
      </c>
      <c r="B350" s="49" t="s">
        <v>391</v>
      </c>
      <c r="C350" s="32" t="s">
        <v>23</v>
      </c>
      <c r="D350" s="50">
        <v>48.0</v>
      </c>
      <c r="E350" s="49" t="s">
        <v>24</v>
      </c>
      <c r="F350" s="49">
        <v>8.0</v>
      </c>
      <c r="G350" s="82"/>
      <c r="H350" s="52"/>
      <c r="I350" s="1"/>
      <c r="K350" s="53"/>
      <c r="O350" s="54"/>
      <c r="R350" s="53"/>
    </row>
    <row r="351">
      <c r="A351" s="86">
        <v>45796.0</v>
      </c>
      <c r="B351" s="49" t="s">
        <v>393</v>
      </c>
      <c r="C351" s="32" t="s">
        <v>23</v>
      </c>
      <c r="D351" s="50">
        <v>39.0</v>
      </c>
      <c r="E351" s="49" t="s">
        <v>24</v>
      </c>
      <c r="F351" s="49">
        <v>6.0</v>
      </c>
      <c r="G351" s="82"/>
      <c r="H351" s="52"/>
      <c r="I351" s="1"/>
      <c r="K351" s="53"/>
      <c r="O351" s="54"/>
      <c r="R351" s="53"/>
    </row>
    <row r="352">
      <c r="A352" s="86">
        <v>45796.0</v>
      </c>
      <c r="B352" s="49" t="s">
        <v>268</v>
      </c>
      <c r="C352" s="32" t="s">
        <v>23</v>
      </c>
      <c r="D352" s="50">
        <v>6.5</v>
      </c>
      <c r="E352" s="49" t="s">
        <v>24</v>
      </c>
      <c r="F352" s="49">
        <v>1.0</v>
      </c>
      <c r="G352" s="82"/>
      <c r="H352" s="52"/>
      <c r="I352" s="1"/>
      <c r="K352" s="53"/>
      <c r="O352" s="54"/>
      <c r="R352" s="53"/>
    </row>
    <row r="353">
      <c r="A353" s="86">
        <v>45796.0</v>
      </c>
      <c r="B353" s="49" t="s">
        <v>268</v>
      </c>
      <c r="C353" s="32" t="s">
        <v>23</v>
      </c>
      <c r="D353" s="50">
        <v>13.0</v>
      </c>
      <c r="E353" s="49" t="s">
        <v>24</v>
      </c>
      <c r="F353" s="49">
        <v>2.0</v>
      </c>
      <c r="G353" s="82"/>
      <c r="H353" s="52"/>
      <c r="I353" s="1"/>
      <c r="K353" s="53"/>
      <c r="O353" s="54"/>
      <c r="R353" s="53"/>
    </row>
    <row r="354">
      <c r="A354" s="86">
        <v>45796.0</v>
      </c>
      <c r="B354" s="49" t="s">
        <v>281</v>
      </c>
      <c r="C354" s="32" t="s">
        <v>23</v>
      </c>
      <c r="D354" s="50">
        <v>12.0</v>
      </c>
      <c r="E354" s="49" t="s">
        <v>24</v>
      </c>
      <c r="F354" s="49">
        <v>2.0</v>
      </c>
      <c r="G354" s="82"/>
      <c r="H354" s="52"/>
      <c r="I354" s="1"/>
      <c r="K354" s="53"/>
      <c r="O354" s="54"/>
      <c r="R354" s="53"/>
    </row>
    <row r="355">
      <c r="A355" s="86">
        <v>45796.0</v>
      </c>
      <c r="B355" s="49" t="s">
        <v>281</v>
      </c>
      <c r="C355" s="32" t="s">
        <v>23</v>
      </c>
      <c r="D355" s="50">
        <v>12.0</v>
      </c>
      <c r="E355" s="49" t="s">
        <v>24</v>
      </c>
      <c r="F355" s="49">
        <v>2.0</v>
      </c>
      <c r="G355" s="82"/>
      <c r="H355" s="52"/>
      <c r="I355" s="1"/>
      <c r="K355" s="53"/>
      <c r="O355" s="54"/>
      <c r="R355" s="53"/>
    </row>
    <row r="356">
      <c r="A356" s="86">
        <v>45796.0</v>
      </c>
      <c r="B356" s="49" t="s">
        <v>248</v>
      </c>
      <c r="C356" s="32" t="s">
        <v>23</v>
      </c>
      <c r="D356" s="50">
        <v>7.5</v>
      </c>
      <c r="E356" s="49" t="s">
        <v>24</v>
      </c>
      <c r="F356" s="49">
        <v>1.0</v>
      </c>
      <c r="G356" s="82"/>
      <c r="H356" s="52"/>
      <c r="I356" s="1"/>
      <c r="K356" s="53"/>
      <c r="O356" s="54"/>
      <c r="R356" s="53"/>
    </row>
    <row r="357">
      <c r="A357" s="86">
        <v>45796.0</v>
      </c>
      <c r="B357" s="49" t="s">
        <v>268</v>
      </c>
      <c r="C357" s="32" t="s">
        <v>23</v>
      </c>
      <c r="D357" s="50">
        <v>6.5</v>
      </c>
      <c r="E357" s="49" t="s">
        <v>24</v>
      </c>
      <c r="F357" s="49">
        <v>1.0</v>
      </c>
      <c r="G357" s="82"/>
      <c r="H357" s="52"/>
      <c r="I357" s="1"/>
      <c r="K357" s="53"/>
      <c r="O357" s="54"/>
      <c r="R357" s="53"/>
    </row>
    <row r="358">
      <c r="A358" s="86">
        <v>45796.0</v>
      </c>
      <c r="B358" s="49" t="s">
        <v>281</v>
      </c>
      <c r="C358" s="32" t="s">
        <v>23</v>
      </c>
      <c r="D358" s="50">
        <v>12.0</v>
      </c>
      <c r="E358" s="49" t="s">
        <v>24</v>
      </c>
      <c r="F358" s="49">
        <v>2.0</v>
      </c>
      <c r="G358" s="82"/>
      <c r="H358" s="52"/>
      <c r="I358" s="1"/>
      <c r="K358" s="53"/>
      <c r="O358" s="54"/>
      <c r="R358" s="53"/>
    </row>
    <row r="359">
      <c r="A359" s="86">
        <v>45796.0</v>
      </c>
      <c r="B359" s="49" t="s">
        <v>281</v>
      </c>
      <c r="C359" s="32" t="s">
        <v>23</v>
      </c>
      <c r="D359" s="50">
        <v>12.0</v>
      </c>
      <c r="E359" s="49" t="s">
        <v>24</v>
      </c>
      <c r="F359" s="49">
        <v>2.0</v>
      </c>
      <c r="G359" s="82"/>
      <c r="H359" s="52"/>
      <c r="I359" s="1"/>
      <c r="K359" s="53"/>
      <c r="O359" s="54"/>
      <c r="R359" s="53"/>
    </row>
    <row r="360">
      <c r="A360" s="86">
        <v>45796.0</v>
      </c>
      <c r="B360" s="49" t="s">
        <v>268</v>
      </c>
      <c r="C360" s="32" t="s">
        <v>23</v>
      </c>
      <c r="D360" s="50">
        <v>13.0</v>
      </c>
      <c r="E360" s="49" t="s">
        <v>24</v>
      </c>
      <c r="F360" s="49">
        <v>2.0</v>
      </c>
      <c r="G360" s="82"/>
      <c r="H360" s="52"/>
      <c r="I360" s="1"/>
      <c r="K360" s="53"/>
      <c r="O360" s="54"/>
      <c r="R360" s="53"/>
    </row>
    <row r="361">
      <c r="A361" s="86">
        <v>45796.0</v>
      </c>
      <c r="B361" s="49" t="s">
        <v>281</v>
      </c>
      <c r="C361" s="32" t="s">
        <v>23</v>
      </c>
      <c r="D361" s="50">
        <v>12.0</v>
      </c>
      <c r="E361" s="49" t="s">
        <v>24</v>
      </c>
      <c r="F361" s="49">
        <v>2.0</v>
      </c>
      <c r="G361" s="82"/>
      <c r="H361" s="52"/>
      <c r="I361" s="1"/>
      <c r="K361" s="53"/>
      <c r="O361" s="54"/>
      <c r="R361" s="53"/>
    </row>
    <row r="362">
      <c r="A362" s="86">
        <v>45796.0</v>
      </c>
      <c r="B362" s="49" t="s">
        <v>281</v>
      </c>
      <c r="C362" s="32" t="s">
        <v>23</v>
      </c>
      <c r="D362" s="50">
        <v>12.0</v>
      </c>
      <c r="E362" s="49" t="s">
        <v>24</v>
      </c>
      <c r="F362" s="49">
        <v>2.0</v>
      </c>
      <c r="G362" s="82"/>
      <c r="H362" s="52"/>
      <c r="I362" s="1"/>
      <c r="K362" s="53"/>
      <c r="O362" s="54"/>
      <c r="R362" s="53"/>
    </row>
    <row r="363">
      <c r="A363" s="86">
        <v>45796.0</v>
      </c>
      <c r="B363" s="49" t="s">
        <v>281</v>
      </c>
      <c r="C363" s="32" t="s">
        <v>23</v>
      </c>
      <c r="D363" s="50">
        <v>24.0</v>
      </c>
      <c r="E363" s="49" t="s">
        <v>24</v>
      </c>
      <c r="F363" s="49">
        <v>4.0</v>
      </c>
      <c r="G363" s="82"/>
      <c r="H363" s="52"/>
      <c r="I363" s="1"/>
      <c r="K363" s="53"/>
      <c r="O363" s="54"/>
      <c r="R363" s="53"/>
    </row>
    <row r="364">
      <c r="A364" s="86">
        <v>45796.0</v>
      </c>
      <c r="B364" s="49" t="s">
        <v>268</v>
      </c>
      <c r="C364" s="32" t="s">
        <v>23</v>
      </c>
      <c r="D364" s="50">
        <v>6.5</v>
      </c>
      <c r="E364" s="49" t="s">
        <v>24</v>
      </c>
      <c r="F364" s="49">
        <v>1.0</v>
      </c>
      <c r="G364" s="82"/>
      <c r="H364" s="52"/>
      <c r="I364" s="1"/>
      <c r="K364" s="53"/>
      <c r="O364" s="54"/>
      <c r="R364" s="53"/>
    </row>
    <row r="365">
      <c r="A365" s="86">
        <v>45796.0</v>
      </c>
      <c r="B365" s="49" t="s">
        <v>397</v>
      </c>
      <c r="C365" s="32" t="s">
        <v>23</v>
      </c>
      <c r="D365" s="50">
        <v>50.0</v>
      </c>
      <c r="E365" s="49" t="s">
        <v>24</v>
      </c>
      <c r="F365" s="49">
        <v>0.0</v>
      </c>
      <c r="G365" s="82"/>
      <c r="H365" s="52"/>
      <c r="I365" s="1"/>
      <c r="K365" s="53"/>
      <c r="O365" s="54"/>
      <c r="R365" s="53"/>
    </row>
    <row r="366">
      <c r="A366" s="86">
        <v>45796.0</v>
      </c>
      <c r="B366" s="49" t="s">
        <v>378</v>
      </c>
      <c r="C366" s="32" t="s">
        <v>64</v>
      </c>
      <c r="D366" s="50">
        <v>50.0</v>
      </c>
      <c r="E366" s="49" t="s">
        <v>24</v>
      </c>
      <c r="F366" s="49">
        <v>0.0</v>
      </c>
      <c r="G366" s="82"/>
      <c r="H366" s="52"/>
      <c r="I366" s="1"/>
      <c r="K366" s="53"/>
      <c r="O366" s="54"/>
      <c r="R366" s="53"/>
    </row>
    <row r="367">
      <c r="A367" s="108"/>
      <c r="B367" s="109"/>
      <c r="C367" s="109"/>
      <c r="D367" s="110"/>
      <c r="E367" s="109"/>
      <c r="F367" s="109"/>
      <c r="G367" s="111"/>
      <c r="H367" s="54"/>
      <c r="K367" s="53"/>
      <c r="O367" s="54"/>
      <c r="R367" s="53"/>
    </row>
    <row r="368">
      <c r="A368" s="108"/>
      <c r="B368" s="109"/>
      <c r="C368" s="109"/>
      <c r="D368" s="110"/>
      <c r="E368" s="109"/>
      <c r="F368" s="109"/>
      <c r="G368" s="111"/>
      <c r="H368" s="54"/>
      <c r="K368" s="53"/>
      <c r="O368" s="54"/>
      <c r="R368" s="53"/>
    </row>
    <row r="369">
      <c r="A369" s="108"/>
      <c r="B369" s="109"/>
      <c r="C369" s="109"/>
      <c r="D369" s="110"/>
      <c r="E369" s="109"/>
      <c r="F369" s="109"/>
      <c r="G369" s="111"/>
      <c r="H369" s="54"/>
      <c r="K369" s="53"/>
      <c r="O369" s="54"/>
      <c r="R369" s="53"/>
    </row>
    <row r="370">
      <c r="A370" s="108"/>
      <c r="B370" s="109"/>
      <c r="C370" s="109"/>
      <c r="D370" s="110"/>
      <c r="E370" s="109"/>
      <c r="F370" s="109"/>
      <c r="G370" s="111"/>
      <c r="H370" s="54"/>
      <c r="K370" s="53"/>
      <c r="O370" s="54"/>
      <c r="R370" s="53"/>
    </row>
    <row r="371">
      <c r="A371" s="108"/>
      <c r="B371" s="109"/>
      <c r="C371" s="109"/>
      <c r="D371" s="110"/>
      <c r="E371" s="109"/>
      <c r="F371" s="109"/>
      <c r="G371" s="111"/>
      <c r="H371" s="54"/>
      <c r="K371" s="53"/>
      <c r="O371" s="54"/>
      <c r="R371" s="53"/>
    </row>
    <row r="372">
      <c r="A372" s="108"/>
      <c r="B372" s="109"/>
      <c r="C372" s="109"/>
      <c r="D372" s="110"/>
      <c r="E372" s="109"/>
      <c r="F372" s="109"/>
      <c r="G372" s="111"/>
      <c r="H372" s="54"/>
      <c r="K372" s="53"/>
      <c r="O372" s="54"/>
      <c r="R372" s="53"/>
    </row>
    <row r="373">
      <c r="A373" s="108"/>
      <c r="B373" s="109"/>
      <c r="C373" s="109"/>
      <c r="D373" s="110"/>
      <c r="E373" s="109"/>
      <c r="F373" s="109"/>
      <c r="G373" s="111"/>
      <c r="H373" s="54"/>
      <c r="K373" s="53"/>
      <c r="O373" s="54"/>
      <c r="R373" s="53"/>
    </row>
    <row r="374">
      <c r="A374" s="108"/>
      <c r="B374" s="109"/>
      <c r="C374" s="109"/>
      <c r="D374" s="110"/>
      <c r="E374" s="109"/>
      <c r="F374" s="109"/>
      <c r="G374" s="111"/>
      <c r="H374" s="54"/>
      <c r="K374" s="53"/>
      <c r="O374" s="54"/>
      <c r="R374" s="53"/>
    </row>
    <row r="375">
      <c r="A375" s="108"/>
      <c r="B375" s="109"/>
      <c r="C375" s="109"/>
      <c r="D375" s="110"/>
      <c r="E375" s="109"/>
      <c r="F375" s="109"/>
      <c r="G375" s="111"/>
      <c r="H375" s="54"/>
      <c r="K375" s="53"/>
      <c r="O375" s="54"/>
      <c r="R375" s="53"/>
    </row>
    <row r="376">
      <c r="A376" s="108"/>
      <c r="B376" s="109"/>
      <c r="C376" s="109"/>
      <c r="D376" s="110"/>
      <c r="E376" s="109"/>
      <c r="F376" s="109"/>
      <c r="G376" s="111"/>
      <c r="H376" s="54"/>
      <c r="K376" s="53"/>
      <c r="O376" s="54"/>
      <c r="R376" s="53"/>
    </row>
    <row r="377">
      <c r="A377" s="108"/>
      <c r="B377" s="109"/>
      <c r="C377" s="109"/>
      <c r="D377" s="110"/>
      <c r="E377" s="109"/>
      <c r="F377" s="109"/>
      <c r="G377" s="111"/>
      <c r="H377" s="54"/>
      <c r="K377" s="53"/>
      <c r="O377" s="54"/>
      <c r="R377" s="53"/>
    </row>
    <row r="378">
      <c r="A378" s="108"/>
      <c r="B378" s="109"/>
      <c r="C378" s="109"/>
      <c r="D378" s="110"/>
      <c r="E378" s="109"/>
      <c r="F378" s="109"/>
      <c r="G378" s="111"/>
      <c r="H378" s="54"/>
      <c r="K378" s="53"/>
      <c r="O378" s="54"/>
      <c r="R378" s="53"/>
    </row>
    <row r="379">
      <c r="A379" s="108"/>
      <c r="B379" s="109"/>
      <c r="C379" s="109"/>
      <c r="D379" s="110"/>
      <c r="E379" s="109"/>
      <c r="F379" s="109"/>
      <c r="G379" s="111"/>
      <c r="H379" s="54"/>
      <c r="K379" s="53"/>
      <c r="O379" s="54"/>
      <c r="R379" s="53"/>
    </row>
    <row r="380">
      <c r="A380" s="108"/>
      <c r="B380" s="109"/>
      <c r="C380" s="109"/>
      <c r="D380" s="110"/>
      <c r="E380" s="109"/>
      <c r="F380" s="109"/>
      <c r="G380" s="111"/>
      <c r="H380" s="54"/>
      <c r="K380" s="53"/>
      <c r="O380" s="54"/>
      <c r="R380" s="53"/>
    </row>
    <row r="381">
      <c r="A381" s="108"/>
      <c r="B381" s="109"/>
      <c r="C381" s="109"/>
      <c r="D381" s="110"/>
      <c r="E381" s="109"/>
      <c r="F381" s="109"/>
      <c r="G381" s="111"/>
      <c r="H381" s="54"/>
      <c r="K381" s="53"/>
      <c r="O381" s="54"/>
      <c r="R381" s="53"/>
    </row>
    <row r="382">
      <c r="A382" s="108"/>
      <c r="B382" s="109"/>
      <c r="C382" s="109"/>
      <c r="D382" s="110"/>
      <c r="E382" s="109"/>
      <c r="F382" s="109"/>
      <c r="G382" s="111"/>
      <c r="H382" s="54"/>
      <c r="K382" s="53"/>
      <c r="O382" s="54"/>
      <c r="R382" s="53"/>
    </row>
    <row r="383">
      <c r="A383" s="108"/>
      <c r="B383" s="109"/>
      <c r="C383" s="109"/>
      <c r="D383" s="110"/>
      <c r="E383" s="109"/>
      <c r="F383" s="109"/>
      <c r="G383" s="111"/>
      <c r="H383" s="54"/>
      <c r="K383" s="53"/>
      <c r="O383" s="54"/>
      <c r="R383" s="53"/>
    </row>
    <row r="384">
      <c r="A384" s="108"/>
      <c r="B384" s="109"/>
      <c r="C384" s="109"/>
      <c r="D384" s="110"/>
      <c r="E384" s="109"/>
      <c r="F384" s="109"/>
      <c r="G384" s="111"/>
      <c r="H384" s="54"/>
      <c r="K384" s="53"/>
      <c r="O384" s="54"/>
      <c r="R384" s="53"/>
    </row>
    <row r="385">
      <c r="A385" s="108"/>
      <c r="B385" s="109"/>
      <c r="C385" s="109"/>
      <c r="D385" s="110"/>
      <c r="E385" s="109"/>
      <c r="F385" s="109"/>
      <c r="G385" s="111"/>
      <c r="H385" s="54"/>
      <c r="K385" s="53"/>
      <c r="O385" s="54"/>
      <c r="R385" s="53"/>
    </row>
    <row r="386">
      <c r="A386" s="108"/>
      <c r="B386" s="109"/>
      <c r="C386" s="109"/>
      <c r="D386" s="110"/>
      <c r="E386" s="109"/>
      <c r="F386" s="109"/>
      <c r="G386" s="111"/>
      <c r="H386" s="54"/>
      <c r="K386" s="53"/>
      <c r="O386" s="54"/>
      <c r="R386" s="53"/>
    </row>
    <row r="387">
      <c r="A387" s="108"/>
      <c r="B387" s="109"/>
      <c r="C387" s="109"/>
      <c r="D387" s="110"/>
      <c r="E387" s="109"/>
      <c r="F387" s="109"/>
      <c r="G387" s="111"/>
      <c r="H387" s="54"/>
      <c r="K387" s="53"/>
      <c r="O387" s="54"/>
      <c r="R387" s="53"/>
    </row>
    <row r="388">
      <c r="A388" s="108"/>
      <c r="B388" s="109"/>
      <c r="C388" s="109"/>
      <c r="D388" s="110"/>
      <c r="E388" s="109"/>
      <c r="F388" s="109"/>
      <c r="G388" s="111"/>
      <c r="H388" s="54"/>
      <c r="K388" s="53"/>
      <c r="O388" s="54"/>
      <c r="R388" s="53"/>
    </row>
    <row r="389">
      <c r="A389" s="108"/>
      <c r="B389" s="109"/>
      <c r="C389" s="109"/>
      <c r="D389" s="110"/>
      <c r="E389" s="109"/>
      <c r="F389" s="109"/>
      <c r="G389" s="111"/>
      <c r="H389" s="54"/>
      <c r="K389" s="53"/>
      <c r="O389" s="54"/>
      <c r="R389" s="53"/>
    </row>
    <row r="390">
      <c r="A390" s="108"/>
      <c r="B390" s="109"/>
      <c r="C390" s="109"/>
      <c r="D390" s="110"/>
      <c r="E390" s="109"/>
      <c r="F390" s="109"/>
      <c r="G390" s="111"/>
      <c r="H390" s="54"/>
      <c r="K390" s="53"/>
      <c r="O390" s="54"/>
      <c r="R390" s="53"/>
    </row>
    <row r="391">
      <c r="A391" s="108"/>
      <c r="B391" s="109"/>
      <c r="C391" s="109"/>
      <c r="D391" s="110"/>
      <c r="E391" s="109"/>
      <c r="F391" s="109"/>
      <c r="G391" s="111"/>
      <c r="H391" s="54"/>
      <c r="K391" s="53"/>
      <c r="O391" s="54"/>
      <c r="R391" s="53"/>
    </row>
    <row r="392">
      <c r="A392" s="108"/>
      <c r="B392" s="109"/>
      <c r="C392" s="109"/>
      <c r="D392" s="110"/>
      <c r="E392" s="109"/>
      <c r="F392" s="109"/>
      <c r="G392" s="111"/>
      <c r="H392" s="54"/>
      <c r="K392" s="53"/>
      <c r="O392" s="54"/>
      <c r="R392" s="53"/>
    </row>
    <row r="393">
      <c r="A393" s="108"/>
      <c r="B393" s="109"/>
      <c r="C393" s="109"/>
      <c r="D393" s="110"/>
      <c r="E393" s="109"/>
      <c r="F393" s="109"/>
      <c r="G393" s="111"/>
      <c r="H393" s="54"/>
      <c r="K393" s="53"/>
      <c r="O393" s="54"/>
      <c r="R393" s="53"/>
    </row>
    <row r="394">
      <c r="A394" s="108"/>
      <c r="B394" s="109"/>
      <c r="C394" s="109"/>
      <c r="D394" s="110"/>
      <c r="E394" s="109"/>
      <c r="F394" s="109"/>
      <c r="G394" s="111"/>
      <c r="H394" s="54"/>
      <c r="K394" s="53"/>
      <c r="O394" s="54"/>
      <c r="R394" s="53"/>
    </row>
    <row r="395">
      <c r="A395" s="108"/>
      <c r="B395" s="109"/>
      <c r="C395" s="109"/>
      <c r="D395" s="110"/>
      <c r="E395" s="109"/>
      <c r="F395" s="109"/>
      <c r="G395" s="111"/>
      <c r="H395" s="54"/>
      <c r="K395" s="53"/>
      <c r="O395" s="54"/>
      <c r="R395" s="53"/>
    </row>
    <row r="396">
      <c r="A396" s="108"/>
      <c r="B396" s="109"/>
      <c r="C396" s="109"/>
      <c r="D396" s="110"/>
      <c r="E396" s="109"/>
      <c r="F396" s="109"/>
      <c r="G396" s="111"/>
      <c r="H396" s="54"/>
      <c r="K396" s="53"/>
      <c r="O396" s="54"/>
      <c r="R396" s="53"/>
    </row>
    <row r="397">
      <c r="A397" s="108"/>
      <c r="B397" s="109"/>
      <c r="C397" s="109"/>
      <c r="D397" s="110"/>
      <c r="E397" s="109"/>
      <c r="F397" s="109"/>
      <c r="G397" s="111"/>
      <c r="H397" s="54"/>
      <c r="K397" s="53"/>
      <c r="O397" s="54"/>
      <c r="R397" s="53"/>
    </row>
    <row r="398">
      <c r="A398" s="108"/>
      <c r="B398" s="109"/>
      <c r="C398" s="109"/>
      <c r="D398" s="110"/>
      <c r="E398" s="109"/>
      <c r="F398" s="109"/>
      <c r="G398" s="111"/>
      <c r="H398" s="54"/>
      <c r="K398" s="53"/>
      <c r="O398" s="54"/>
      <c r="R398" s="53"/>
    </row>
    <row r="399">
      <c r="A399" s="108"/>
      <c r="B399" s="109"/>
      <c r="C399" s="109"/>
      <c r="D399" s="110"/>
      <c r="E399" s="109"/>
      <c r="F399" s="109"/>
      <c r="G399" s="111"/>
      <c r="H399" s="54"/>
      <c r="K399" s="53"/>
      <c r="O399" s="54"/>
      <c r="R399" s="53"/>
    </row>
    <row r="400">
      <c r="A400" s="108"/>
      <c r="B400" s="109"/>
      <c r="C400" s="109"/>
      <c r="D400" s="110"/>
      <c r="E400" s="109"/>
      <c r="F400" s="109"/>
      <c r="G400" s="111"/>
      <c r="H400" s="54"/>
      <c r="K400" s="53"/>
      <c r="O400" s="54"/>
      <c r="R400" s="53"/>
    </row>
    <row r="401">
      <c r="A401" s="108"/>
      <c r="B401" s="109"/>
      <c r="C401" s="109"/>
      <c r="D401" s="110"/>
      <c r="E401" s="109"/>
      <c r="F401" s="109"/>
      <c r="G401" s="111"/>
      <c r="H401" s="54"/>
      <c r="K401" s="53"/>
      <c r="O401" s="54"/>
      <c r="R401" s="53"/>
    </row>
    <row r="402">
      <c r="A402" s="108"/>
      <c r="B402" s="109"/>
      <c r="C402" s="109"/>
      <c r="D402" s="110"/>
      <c r="E402" s="109"/>
      <c r="F402" s="109"/>
      <c r="G402" s="111"/>
      <c r="H402" s="54"/>
      <c r="K402" s="53"/>
      <c r="O402" s="54"/>
      <c r="R402" s="53"/>
    </row>
    <row r="403">
      <c r="A403" s="108"/>
      <c r="B403" s="109"/>
      <c r="C403" s="109"/>
      <c r="D403" s="110"/>
      <c r="E403" s="109"/>
      <c r="F403" s="109"/>
      <c r="G403" s="111"/>
      <c r="H403" s="54"/>
      <c r="K403" s="53"/>
      <c r="O403" s="54"/>
      <c r="R403" s="53"/>
    </row>
    <row r="404">
      <c r="A404" s="108"/>
      <c r="B404" s="109"/>
      <c r="C404" s="109"/>
      <c r="D404" s="110"/>
      <c r="E404" s="109"/>
      <c r="F404" s="109"/>
      <c r="G404" s="111"/>
      <c r="H404" s="54"/>
      <c r="K404" s="53"/>
      <c r="O404" s="54"/>
      <c r="R404" s="53"/>
    </row>
    <row r="405">
      <c r="A405" s="108"/>
      <c r="B405" s="109"/>
      <c r="C405" s="109"/>
      <c r="D405" s="110"/>
      <c r="E405" s="109"/>
      <c r="F405" s="109"/>
      <c r="G405" s="111"/>
      <c r="H405" s="54"/>
      <c r="K405" s="53"/>
      <c r="O405" s="54"/>
      <c r="R405" s="53"/>
    </row>
    <row r="406">
      <c r="A406" s="108"/>
      <c r="B406" s="109"/>
      <c r="C406" s="109"/>
      <c r="D406" s="110"/>
      <c r="E406" s="109"/>
      <c r="F406" s="109"/>
      <c r="G406" s="111"/>
      <c r="H406" s="54"/>
      <c r="K406" s="53"/>
      <c r="O406" s="54"/>
      <c r="R406" s="53"/>
    </row>
    <row r="407">
      <c r="A407" s="108"/>
      <c r="B407" s="109"/>
      <c r="C407" s="109"/>
      <c r="D407" s="110"/>
      <c r="E407" s="109"/>
      <c r="F407" s="109"/>
      <c r="G407" s="111"/>
      <c r="H407" s="54"/>
      <c r="K407" s="53"/>
      <c r="O407" s="54"/>
      <c r="R407" s="53"/>
    </row>
    <row r="408">
      <c r="A408" s="108"/>
      <c r="B408" s="109"/>
      <c r="C408" s="109"/>
      <c r="D408" s="110"/>
      <c r="E408" s="109"/>
      <c r="F408" s="109"/>
      <c r="G408" s="111"/>
      <c r="H408" s="54"/>
      <c r="K408" s="53"/>
      <c r="O408" s="54"/>
      <c r="R408" s="53"/>
    </row>
    <row r="409">
      <c r="A409" s="108"/>
      <c r="B409" s="109"/>
      <c r="C409" s="109"/>
      <c r="D409" s="110"/>
      <c r="E409" s="109"/>
      <c r="F409" s="109"/>
      <c r="G409" s="111"/>
      <c r="H409" s="54"/>
      <c r="K409" s="53"/>
      <c r="O409" s="54"/>
      <c r="R409" s="53"/>
    </row>
    <row r="410">
      <c r="A410" s="108"/>
      <c r="B410" s="109"/>
      <c r="C410" s="109"/>
      <c r="D410" s="110"/>
      <c r="E410" s="109"/>
      <c r="F410" s="109"/>
      <c r="G410" s="111"/>
      <c r="H410" s="54"/>
      <c r="K410" s="53"/>
      <c r="O410" s="54"/>
      <c r="R410" s="53"/>
    </row>
    <row r="411">
      <c r="A411" s="108"/>
      <c r="B411" s="109"/>
      <c r="C411" s="109"/>
      <c r="D411" s="110"/>
      <c r="E411" s="109"/>
      <c r="F411" s="109"/>
      <c r="G411" s="111"/>
      <c r="H411" s="54"/>
      <c r="K411" s="53"/>
      <c r="O411" s="54"/>
      <c r="R411" s="53"/>
    </row>
    <row r="412">
      <c r="A412" s="108"/>
      <c r="B412" s="109"/>
      <c r="C412" s="109"/>
      <c r="D412" s="110"/>
      <c r="E412" s="109"/>
      <c r="F412" s="109"/>
      <c r="G412" s="111"/>
      <c r="H412" s="54"/>
      <c r="K412" s="53"/>
      <c r="O412" s="54"/>
      <c r="R412" s="53"/>
    </row>
    <row r="413">
      <c r="A413" s="108"/>
      <c r="B413" s="109"/>
      <c r="C413" s="109"/>
      <c r="D413" s="110"/>
      <c r="E413" s="109"/>
      <c r="F413" s="109"/>
      <c r="G413" s="111"/>
      <c r="H413" s="54"/>
      <c r="K413" s="53"/>
      <c r="O413" s="54"/>
      <c r="R413" s="53"/>
    </row>
    <row r="414">
      <c r="A414" s="108"/>
      <c r="B414" s="109"/>
      <c r="C414" s="109"/>
      <c r="D414" s="110"/>
      <c r="E414" s="109"/>
      <c r="F414" s="109"/>
      <c r="G414" s="111"/>
      <c r="H414" s="54"/>
      <c r="K414" s="53"/>
      <c r="O414" s="54"/>
      <c r="R414" s="53"/>
    </row>
    <row r="415">
      <c r="A415" s="108"/>
      <c r="B415" s="109"/>
      <c r="C415" s="109"/>
      <c r="D415" s="110" t="str">
        <f>C6</f>
        <v/>
      </c>
      <c r="E415" s="109"/>
      <c r="F415" s="109"/>
      <c r="G415" s="111"/>
      <c r="H415" s="54"/>
      <c r="K415" s="53"/>
      <c r="O415" s="54"/>
      <c r="R415" s="53"/>
    </row>
    <row r="416">
      <c r="A416" s="109"/>
      <c r="B416" s="109"/>
      <c r="C416" s="109"/>
      <c r="D416" s="110"/>
      <c r="E416" s="109"/>
      <c r="F416" s="109"/>
      <c r="G416" s="109"/>
      <c r="H416" s="54"/>
      <c r="K416" s="53"/>
      <c r="O416" s="54"/>
      <c r="R416" s="53"/>
    </row>
    <row r="417">
      <c r="A417" s="109"/>
      <c r="B417" s="109"/>
      <c r="C417" s="109"/>
      <c r="D417" s="110"/>
      <c r="E417" s="109"/>
      <c r="F417" s="109"/>
      <c r="G417" s="109"/>
      <c r="H417" s="54"/>
      <c r="K417" s="53"/>
      <c r="O417" s="54"/>
      <c r="R417" s="53"/>
    </row>
    <row r="418">
      <c r="A418" s="109"/>
      <c r="B418" s="109"/>
      <c r="C418" s="109"/>
      <c r="D418" s="110"/>
      <c r="E418" s="109"/>
      <c r="F418" s="109"/>
      <c r="G418" s="109"/>
      <c r="H418" s="54"/>
      <c r="K418" s="53"/>
      <c r="O418" s="54"/>
      <c r="R418" s="53"/>
    </row>
    <row r="419">
      <c r="A419" s="108"/>
      <c r="B419" s="109"/>
      <c r="C419" s="109"/>
      <c r="D419" s="110"/>
      <c r="E419" s="109"/>
      <c r="F419" s="109"/>
      <c r="G419" s="109"/>
      <c r="H419" s="54"/>
      <c r="K419" s="53"/>
      <c r="O419" s="54"/>
      <c r="R419" s="53"/>
    </row>
    <row r="420">
      <c r="A420" s="108"/>
      <c r="B420" s="109"/>
      <c r="C420" s="109"/>
      <c r="D420" s="110"/>
      <c r="E420" s="109"/>
      <c r="F420" s="109"/>
      <c r="G420" s="109"/>
      <c r="H420" s="54"/>
      <c r="K420" s="53"/>
      <c r="O420" s="54"/>
      <c r="R420" s="53"/>
    </row>
    <row r="421">
      <c r="A421" s="108"/>
      <c r="B421" s="112"/>
      <c r="C421" s="112"/>
      <c r="D421" s="110"/>
      <c r="E421" s="112"/>
      <c r="F421" s="112"/>
      <c r="G421" s="112"/>
      <c r="H421" s="54"/>
      <c r="K421" s="53"/>
      <c r="O421" s="54"/>
      <c r="R421" s="53"/>
    </row>
    <row r="422">
      <c r="A422" s="108"/>
      <c r="B422" s="112"/>
      <c r="C422" s="112"/>
      <c r="D422" s="110"/>
      <c r="E422" s="112"/>
      <c r="F422" s="112"/>
      <c r="G422" s="112"/>
      <c r="H422" s="54"/>
      <c r="K422" s="53"/>
      <c r="O422" s="54"/>
      <c r="R422" s="53"/>
    </row>
    <row r="423">
      <c r="A423" s="108"/>
      <c r="B423" s="112"/>
      <c r="C423" s="112"/>
      <c r="D423" s="110"/>
      <c r="E423" s="112"/>
      <c r="F423" s="112"/>
      <c r="G423" s="112"/>
      <c r="H423" s="54"/>
      <c r="K423" s="53"/>
      <c r="O423" s="54"/>
      <c r="R423" s="53"/>
    </row>
    <row r="424">
      <c r="A424" s="108"/>
      <c r="B424" s="112"/>
      <c r="C424" s="112"/>
      <c r="D424" s="110"/>
      <c r="E424" s="112"/>
      <c r="F424" s="112"/>
      <c r="G424" s="112"/>
      <c r="H424" s="54"/>
      <c r="K424" s="53"/>
      <c r="O424" s="54"/>
      <c r="R424" s="53"/>
    </row>
    <row r="425">
      <c r="A425" s="108"/>
      <c r="B425" s="112"/>
      <c r="C425" s="112"/>
      <c r="D425" s="110"/>
      <c r="E425" s="112"/>
      <c r="F425" s="112"/>
      <c r="G425" s="112"/>
      <c r="H425" s="54"/>
      <c r="K425" s="53"/>
      <c r="O425" s="54"/>
      <c r="R425" s="53"/>
    </row>
    <row r="426">
      <c r="A426" s="108"/>
      <c r="B426" s="112"/>
      <c r="C426" s="112"/>
      <c r="D426" s="110"/>
      <c r="E426" s="112"/>
      <c r="F426" s="112"/>
      <c r="G426" s="112"/>
      <c r="H426" s="54"/>
      <c r="K426" s="53"/>
      <c r="O426" s="54"/>
      <c r="R426" s="53"/>
    </row>
    <row r="427">
      <c r="A427" s="108"/>
      <c r="B427" s="112"/>
      <c r="C427" s="112"/>
      <c r="D427" s="110"/>
      <c r="E427" s="112"/>
      <c r="F427" s="112"/>
      <c r="G427" s="112"/>
      <c r="H427" s="54"/>
      <c r="K427" s="53"/>
      <c r="O427" s="54"/>
      <c r="R427" s="53"/>
    </row>
    <row r="428">
      <c r="A428" s="108"/>
      <c r="B428" s="112"/>
      <c r="C428" s="112"/>
      <c r="D428" s="110"/>
      <c r="E428" s="112"/>
      <c r="F428" s="112"/>
      <c r="G428" s="112"/>
      <c r="H428" s="54"/>
      <c r="K428" s="53"/>
      <c r="O428" s="54"/>
      <c r="R428" s="53"/>
    </row>
    <row r="429">
      <c r="A429" s="108"/>
      <c r="B429" s="112"/>
      <c r="C429" s="112"/>
      <c r="D429" s="110"/>
      <c r="E429" s="112"/>
      <c r="F429" s="112"/>
      <c r="G429" s="112"/>
      <c r="H429" s="54"/>
      <c r="K429" s="53"/>
      <c r="O429" s="54"/>
      <c r="R429" s="53"/>
    </row>
    <row r="430">
      <c r="A430" s="108"/>
      <c r="B430" s="112"/>
      <c r="C430" s="112"/>
      <c r="D430" s="110"/>
      <c r="E430" s="112"/>
      <c r="F430" s="112"/>
      <c r="G430" s="112"/>
      <c r="H430" s="54"/>
      <c r="K430" s="53"/>
      <c r="O430" s="54"/>
      <c r="R430" s="53"/>
    </row>
    <row r="431">
      <c r="A431" s="108"/>
      <c r="B431" s="112"/>
      <c r="C431" s="112"/>
      <c r="D431" s="110"/>
      <c r="E431" s="112"/>
      <c r="F431" s="112"/>
      <c r="G431" s="112"/>
      <c r="H431" s="54"/>
      <c r="K431" s="53"/>
      <c r="O431" s="54"/>
      <c r="R431" s="53"/>
    </row>
    <row r="432">
      <c r="A432" s="108"/>
      <c r="B432" s="112"/>
      <c r="C432" s="112"/>
      <c r="D432" s="110"/>
      <c r="E432" s="112"/>
      <c r="F432" s="112"/>
      <c r="G432" s="112"/>
      <c r="H432" s="54"/>
      <c r="K432" s="53"/>
      <c r="O432" s="54"/>
      <c r="R432" s="53"/>
    </row>
    <row r="433">
      <c r="A433" s="108"/>
      <c r="B433" s="112"/>
      <c r="C433" s="112"/>
      <c r="D433" s="110"/>
      <c r="E433" s="112"/>
      <c r="F433" s="112"/>
      <c r="G433" s="112"/>
      <c r="H433" s="54"/>
      <c r="K433" s="53"/>
      <c r="O433" s="54"/>
      <c r="R433" s="53"/>
    </row>
    <row r="434">
      <c r="A434" s="108"/>
      <c r="B434" s="112"/>
      <c r="C434" s="112"/>
      <c r="D434" s="110"/>
      <c r="E434" s="112"/>
      <c r="F434" s="112"/>
      <c r="G434" s="112"/>
      <c r="H434" s="54"/>
      <c r="K434" s="53"/>
      <c r="O434" s="54"/>
      <c r="R434" s="53"/>
    </row>
    <row r="435">
      <c r="A435" s="108"/>
      <c r="B435" s="112"/>
      <c r="C435" s="112"/>
      <c r="D435" s="110"/>
      <c r="E435" s="112"/>
      <c r="F435" s="112"/>
      <c r="G435" s="112"/>
      <c r="H435" s="54"/>
      <c r="K435" s="53"/>
      <c r="O435" s="54"/>
      <c r="R435" s="53"/>
    </row>
    <row r="436">
      <c r="A436" s="108"/>
      <c r="B436" s="112"/>
      <c r="C436" s="112"/>
      <c r="D436" s="110"/>
      <c r="E436" s="112"/>
      <c r="F436" s="112"/>
      <c r="G436" s="112"/>
      <c r="H436" s="54"/>
      <c r="K436" s="53"/>
      <c r="O436" s="54"/>
      <c r="R436" s="53"/>
    </row>
    <row r="437">
      <c r="A437" s="108"/>
      <c r="B437" s="112"/>
      <c r="C437" s="112"/>
      <c r="D437" s="110"/>
      <c r="E437" s="112"/>
      <c r="F437" s="112"/>
      <c r="G437" s="112"/>
      <c r="H437" s="54"/>
      <c r="K437" s="53"/>
      <c r="O437" s="54"/>
      <c r="R437" s="53"/>
    </row>
    <row r="438">
      <c r="A438" s="108"/>
      <c r="B438" s="112"/>
      <c r="C438" s="112"/>
      <c r="D438" s="110"/>
      <c r="E438" s="112"/>
      <c r="F438" s="112"/>
      <c r="G438" s="112"/>
      <c r="H438" s="54"/>
      <c r="K438" s="53"/>
      <c r="O438" s="54"/>
      <c r="R438" s="53"/>
    </row>
    <row r="439">
      <c r="A439" s="108"/>
      <c r="B439" s="112"/>
      <c r="C439" s="112"/>
      <c r="D439" s="110"/>
      <c r="E439" s="112"/>
      <c r="F439" s="112"/>
      <c r="G439" s="112"/>
      <c r="H439" s="54"/>
      <c r="K439" s="53"/>
      <c r="O439" s="54"/>
      <c r="R439" s="53"/>
    </row>
    <row r="440">
      <c r="A440" s="108"/>
      <c r="B440" s="112"/>
      <c r="C440" s="112"/>
      <c r="D440" s="110"/>
      <c r="E440" s="112"/>
      <c r="F440" s="112"/>
      <c r="G440" s="112"/>
      <c r="H440" s="54"/>
      <c r="K440" s="53"/>
      <c r="O440" s="54"/>
      <c r="R440" s="53"/>
    </row>
    <row r="441">
      <c r="A441" s="108"/>
      <c r="B441" s="112"/>
      <c r="C441" s="112"/>
      <c r="D441" s="110"/>
      <c r="E441" s="112"/>
      <c r="F441" s="112"/>
      <c r="G441" s="112"/>
      <c r="H441" s="54"/>
      <c r="K441" s="53"/>
      <c r="O441" s="54"/>
      <c r="R441" s="53"/>
    </row>
    <row r="442">
      <c r="A442" s="108"/>
      <c r="B442" s="112"/>
      <c r="C442" s="112"/>
      <c r="D442" s="110"/>
      <c r="E442" s="112"/>
      <c r="F442" s="112"/>
      <c r="G442" s="112"/>
      <c r="H442" s="54"/>
      <c r="K442" s="53"/>
      <c r="O442" s="54"/>
      <c r="R442" s="53"/>
    </row>
    <row r="443">
      <c r="A443" s="108"/>
      <c r="B443" s="112"/>
      <c r="C443" s="112"/>
      <c r="D443" s="110"/>
      <c r="E443" s="112"/>
      <c r="F443" s="112"/>
      <c r="G443" s="112"/>
      <c r="H443" s="54"/>
      <c r="K443" s="53"/>
      <c r="O443" s="54"/>
      <c r="R443" s="53"/>
    </row>
    <row r="444">
      <c r="A444" s="108"/>
      <c r="B444" s="112"/>
      <c r="C444" s="112"/>
      <c r="D444" s="110"/>
      <c r="E444" s="112"/>
      <c r="F444" s="112"/>
      <c r="G444" s="112"/>
      <c r="H444" s="54"/>
      <c r="K444" s="53"/>
      <c r="O444" s="54"/>
      <c r="R444" s="53"/>
    </row>
    <row r="445">
      <c r="A445" s="108"/>
      <c r="B445" s="112"/>
      <c r="C445" s="112"/>
      <c r="D445" s="110"/>
      <c r="E445" s="112"/>
      <c r="F445" s="112"/>
      <c r="G445" s="112"/>
      <c r="H445" s="54"/>
      <c r="K445" s="53"/>
      <c r="O445" s="54"/>
      <c r="R445" s="53"/>
    </row>
    <row r="446">
      <c r="A446" s="54"/>
      <c r="D446" s="53"/>
      <c r="H446" s="54"/>
      <c r="K446" s="53"/>
      <c r="O446" s="54"/>
      <c r="R446" s="53"/>
    </row>
    <row r="447">
      <c r="A447" s="113"/>
      <c r="B447" s="113"/>
      <c r="C447" s="113"/>
      <c r="D447" s="114"/>
      <c r="E447" s="113"/>
      <c r="F447" s="113"/>
      <c r="G447" s="41"/>
      <c r="H447" s="115"/>
      <c r="I447" s="41"/>
      <c r="J447" s="41"/>
      <c r="K447" s="116"/>
      <c r="O447" s="54"/>
      <c r="R447" s="53"/>
    </row>
    <row r="448">
      <c r="A448" s="117"/>
      <c r="B448" s="113"/>
      <c r="C448" s="113"/>
      <c r="D448" s="114"/>
      <c r="E448" s="113"/>
      <c r="F448" s="113"/>
      <c r="G448" s="41"/>
      <c r="H448" s="115"/>
      <c r="I448" s="41"/>
      <c r="J448" s="41"/>
      <c r="K448" s="116"/>
      <c r="O448" s="54"/>
      <c r="R448" s="53"/>
    </row>
    <row r="449">
      <c r="A449" s="117"/>
      <c r="B449" s="113"/>
      <c r="C449" s="113"/>
      <c r="D449" s="114"/>
      <c r="E449" s="113"/>
      <c r="F449" s="113"/>
      <c r="G449" s="41"/>
      <c r="H449" s="115"/>
      <c r="I449" s="41"/>
      <c r="J449" s="41"/>
      <c r="K449" s="116"/>
      <c r="O449" s="54"/>
      <c r="R449" s="53"/>
    </row>
    <row r="450">
      <c r="A450" s="117"/>
      <c r="B450" s="113"/>
      <c r="C450" s="113"/>
      <c r="D450" s="114"/>
      <c r="E450" s="113"/>
      <c r="F450" s="113"/>
      <c r="G450" s="41"/>
      <c r="H450" s="115"/>
      <c r="I450" s="41"/>
      <c r="J450" s="41"/>
      <c r="K450" s="116"/>
      <c r="O450" s="54"/>
      <c r="R450" s="53"/>
    </row>
    <row r="451">
      <c r="A451" s="117"/>
      <c r="B451" s="113"/>
      <c r="C451" s="113"/>
      <c r="D451" s="114"/>
      <c r="E451" s="113"/>
      <c r="F451" s="113"/>
      <c r="G451" s="41"/>
      <c r="H451" s="115"/>
      <c r="I451" s="41"/>
      <c r="J451" s="41"/>
      <c r="K451" s="116"/>
      <c r="O451" s="54"/>
      <c r="R451" s="53"/>
    </row>
    <row r="452">
      <c r="A452" s="117"/>
      <c r="B452" s="113"/>
      <c r="C452" s="113"/>
      <c r="D452" s="114"/>
      <c r="E452" s="113"/>
      <c r="F452" s="113"/>
      <c r="G452" s="41"/>
      <c r="H452" s="115"/>
      <c r="I452" s="41"/>
      <c r="J452" s="41"/>
      <c r="K452" s="116"/>
      <c r="O452" s="54"/>
      <c r="R452" s="53"/>
    </row>
    <row r="453">
      <c r="A453" s="117"/>
      <c r="B453" s="113"/>
      <c r="C453" s="113"/>
      <c r="D453" s="114"/>
      <c r="E453" s="113"/>
      <c r="F453" s="113"/>
      <c r="G453" s="41"/>
      <c r="H453" s="115"/>
      <c r="I453" s="41"/>
      <c r="J453" s="41"/>
      <c r="K453" s="116"/>
      <c r="O453" s="54"/>
      <c r="R453" s="53"/>
    </row>
    <row r="454">
      <c r="A454" s="117"/>
      <c r="B454" s="113"/>
      <c r="C454" s="113"/>
      <c r="D454" s="114"/>
      <c r="E454" s="113"/>
      <c r="F454" s="113"/>
      <c r="G454" s="41"/>
      <c r="H454" s="115"/>
      <c r="I454" s="41"/>
      <c r="J454" s="41"/>
      <c r="K454" s="116"/>
      <c r="O454" s="54"/>
      <c r="R454" s="53"/>
    </row>
    <row r="455">
      <c r="A455" s="117"/>
      <c r="B455" s="113"/>
      <c r="C455" s="113"/>
      <c r="D455" s="114"/>
      <c r="E455" s="113"/>
      <c r="F455" s="113"/>
      <c r="G455" s="41"/>
      <c r="H455" s="115"/>
      <c r="I455" s="41"/>
      <c r="J455" s="41"/>
      <c r="K455" s="116"/>
      <c r="O455" s="54"/>
      <c r="R455" s="53"/>
    </row>
    <row r="456">
      <c r="A456" s="117"/>
      <c r="B456" s="113"/>
      <c r="C456" s="113"/>
      <c r="D456" s="114"/>
      <c r="E456" s="113"/>
      <c r="F456" s="113"/>
      <c r="G456" s="41"/>
      <c r="H456" s="115"/>
      <c r="I456" s="41"/>
      <c r="J456" s="41"/>
      <c r="K456" s="116"/>
      <c r="O456" s="54"/>
      <c r="R456" s="53"/>
    </row>
    <row r="457">
      <c r="A457" s="117"/>
      <c r="B457" s="113"/>
      <c r="C457" s="113"/>
      <c r="D457" s="114"/>
      <c r="E457" s="113"/>
      <c r="F457" s="113"/>
      <c r="G457" s="41"/>
      <c r="H457" s="115"/>
      <c r="I457" s="41"/>
      <c r="J457" s="41"/>
      <c r="K457" s="116"/>
      <c r="O457" s="54"/>
      <c r="R457" s="53"/>
    </row>
    <row r="458">
      <c r="A458" s="117"/>
      <c r="B458" s="113"/>
      <c r="C458" s="113"/>
      <c r="D458" s="114"/>
      <c r="E458" s="113"/>
      <c r="F458" s="113"/>
      <c r="G458" s="41"/>
      <c r="H458" s="115"/>
      <c r="I458" s="41"/>
      <c r="J458" s="41"/>
      <c r="K458" s="116"/>
      <c r="O458" s="54"/>
      <c r="R458" s="53"/>
    </row>
    <row r="459">
      <c r="A459" s="117"/>
      <c r="B459" s="113"/>
      <c r="C459" s="113"/>
      <c r="D459" s="114"/>
      <c r="E459" s="113"/>
      <c r="F459" s="113"/>
      <c r="G459" s="41"/>
      <c r="H459" s="115"/>
      <c r="I459" s="41"/>
      <c r="J459" s="41"/>
      <c r="K459" s="116"/>
      <c r="O459" s="54"/>
      <c r="R459" s="53"/>
    </row>
    <row r="460">
      <c r="A460" s="117"/>
      <c r="B460" s="113"/>
      <c r="C460" s="113"/>
      <c r="D460" s="114"/>
      <c r="E460" s="113"/>
      <c r="F460" s="113"/>
      <c r="G460" s="41"/>
      <c r="H460" s="115"/>
      <c r="I460" s="41"/>
      <c r="J460" s="41"/>
      <c r="K460" s="116"/>
      <c r="O460" s="54"/>
      <c r="R460" s="53"/>
    </row>
    <row r="461">
      <c r="A461" s="117"/>
      <c r="B461" s="113"/>
      <c r="C461" s="113"/>
      <c r="D461" s="114"/>
      <c r="E461" s="113"/>
      <c r="F461" s="113"/>
      <c r="G461" s="41"/>
      <c r="H461" s="115"/>
      <c r="I461" s="41"/>
      <c r="J461" s="41"/>
      <c r="K461" s="116"/>
      <c r="O461" s="54"/>
      <c r="R461" s="53"/>
    </row>
    <row r="462">
      <c r="A462" s="117"/>
      <c r="B462" s="113"/>
      <c r="C462" s="113"/>
      <c r="D462" s="114"/>
      <c r="E462" s="113"/>
      <c r="F462" s="113"/>
      <c r="G462" s="41"/>
      <c r="H462" s="115"/>
      <c r="I462" s="41"/>
      <c r="J462" s="41"/>
      <c r="K462" s="116"/>
      <c r="O462" s="54"/>
      <c r="R462" s="53"/>
    </row>
    <row r="463">
      <c r="A463" s="117"/>
      <c r="B463" s="113"/>
      <c r="C463" s="113"/>
      <c r="D463" s="114"/>
      <c r="E463" s="113"/>
      <c r="F463" s="113"/>
      <c r="G463" s="41"/>
      <c r="H463" s="115"/>
      <c r="I463" s="41"/>
      <c r="J463" s="41"/>
      <c r="K463" s="116"/>
      <c r="O463" s="54"/>
      <c r="R463" s="53"/>
    </row>
    <row r="464">
      <c r="A464" s="117"/>
      <c r="B464" s="113"/>
      <c r="C464" s="113"/>
      <c r="D464" s="114"/>
      <c r="E464" s="113"/>
      <c r="F464" s="113"/>
      <c r="G464" s="41"/>
      <c r="H464" s="115"/>
      <c r="I464" s="41"/>
      <c r="J464" s="41"/>
      <c r="K464" s="116"/>
      <c r="O464" s="54"/>
      <c r="R464" s="53"/>
    </row>
    <row r="465">
      <c r="A465" s="117"/>
      <c r="B465" s="113"/>
      <c r="C465" s="113"/>
      <c r="D465" s="114"/>
      <c r="E465" s="113"/>
      <c r="F465" s="113"/>
      <c r="G465" s="41"/>
      <c r="H465" s="115"/>
      <c r="I465" s="41"/>
      <c r="J465" s="41"/>
      <c r="K465" s="116"/>
      <c r="O465" s="54"/>
      <c r="R465" s="53"/>
    </row>
    <row r="466">
      <c r="A466" s="117"/>
      <c r="B466" s="113"/>
      <c r="C466" s="113"/>
      <c r="D466" s="114"/>
      <c r="E466" s="113"/>
      <c r="F466" s="113"/>
      <c r="G466" s="41"/>
      <c r="H466" s="115"/>
      <c r="I466" s="41"/>
      <c r="J466" s="41"/>
      <c r="K466" s="116"/>
      <c r="O466" s="54"/>
      <c r="R466" s="53"/>
    </row>
    <row r="467">
      <c r="A467" s="117"/>
      <c r="B467" s="113"/>
      <c r="C467" s="113"/>
      <c r="D467" s="114"/>
      <c r="E467" s="113"/>
      <c r="F467" s="113"/>
      <c r="G467" s="41"/>
      <c r="H467" s="115"/>
      <c r="I467" s="41"/>
      <c r="J467" s="41"/>
      <c r="K467" s="116"/>
      <c r="O467" s="54"/>
      <c r="R467" s="53"/>
    </row>
    <row r="468">
      <c r="A468" s="117"/>
      <c r="B468" s="113"/>
      <c r="C468" s="113"/>
      <c r="D468" s="114"/>
      <c r="E468" s="113"/>
      <c r="F468" s="113"/>
      <c r="G468" s="41"/>
      <c r="H468" s="116"/>
      <c r="I468" s="41"/>
      <c r="J468" s="41"/>
      <c r="K468" s="41"/>
    </row>
    <row r="469">
      <c r="A469" s="54"/>
      <c r="D469" s="53"/>
      <c r="H469" s="54"/>
      <c r="K469" s="53"/>
      <c r="O469" s="54"/>
      <c r="R469" s="53"/>
    </row>
    <row r="470">
      <c r="A470" s="54"/>
      <c r="D470" s="53"/>
      <c r="H470" s="54"/>
      <c r="K470" s="53"/>
      <c r="O470" s="54"/>
      <c r="R470" s="53"/>
    </row>
    <row r="471">
      <c r="A471" s="54"/>
      <c r="D471" s="53"/>
      <c r="H471" s="54"/>
      <c r="K471" s="53"/>
      <c r="O471" s="54"/>
      <c r="R471" s="53"/>
    </row>
  </sheetData>
  <mergeCells count="2">
    <mergeCell ref="A1:F1"/>
    <mergeCell ref="G6:G65"/>
  </mergeCells>
  <conditionalFormatting sqref="C7:C366">
    <cfRule type="containsText" dxfId="0" priority="1" operator="containsText" text="Entrada">
      <formula>NOT(ISERROR(SEARCH(("Entrada"),(C7))))</formula>
    </cfRule>
  </conditionalFormatting>
  <conditionalFormatting sqref="C7:C366">
    <cfRule type="containsText" dxfId="1" priority="2" operator="containsText" text="Saida">
      <formula>NOT(ISERROR(SEARCH(("Saida"),(C7))))</formula>
    </cfRule>
  </conditionalFormatting>
  <dataValidations>
    <dataValidation type="list" allowBlank="1" showErrorMessage="1" sqref="E4">
      <formula1>"Pix,Dinheiro"</formula1>
    </dataValidation>
    <dataValidation type="list" allowBlank="1" showErrorMessage="1" sqref="C4">
      <formula1>"Saida ,Entrada"</formula1>
    </dataValidation>
    <dataValidation type="list" allowBlank="1" showErrorMessage="1" sqref="A4 A7:A214">
      <formula1>"19/05/2025,20/05/2025,21/05/2025,22/05/2025,23/05/2025,24/05/2025,25/05/2025,26/05/2025"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22.38"/>
    <col customWidth="1" min="6" max="6" width="22.5"/>
    <col customWidth="1" min="7" max="7" width="19.75"/>
  </cols>
  <sheetData>
    <row r="1">
      <c r="A1" s="1"/>
      <c r="K1" s="1"/>
    </row>
    <row r="2">
      <c r="K2" s="1"/>
    </row>
    <row r="3">
      <c r="K3" s="1"/>
    </row>
    <row r="4">
      <c r="A4" s="2"/>
      <c r="E4" s="7" t="s">
        <v>1</v>
      </c>
      <c r="F4" s="8"/>
      <c r="G4" s="8"/>
      <c r="H4" s="1"/>
      <c r="K4" s="1"/>
    </row>
    <row r="5">
      <c r="E5" s="10"/>
      <c r="F5" s="11"/>
      <c r="G5" s="11"/>
      <c r="K5" s="1"/>
    </row>
    <row r="6" ht="25.5" customHeight="1">
      <c r="E6" s="12" t="s">
        <v>10</v>
      </c>
      <c r="F6" s="12" t="s">
        <v>12</v>
      </c>
      <c r="G6" s="12" t="s">
        <v>14</v>
      </c>
      <c r="K6" s="1"/>
    </row>
    <row r="7" ht="48.0" customHeight="1">
      <c r="E7" s="25">
        <f>SUMIF('Fluxo de Caixa'!$C$5:$C$1467, "Entrada", 'Fluxo de Caixa'!$D$5:$D$1467)</f>
        <v>7674.15</v>
      </c>
      <c r="F7" s="25">
        <f>SUMIF('Fluxo de Caixa'!$C$5:$C$1467, "Saida ", 'Fluxo de Caixa'!$D$5:$D$1467)</f>
        <v>2598.45</v>
      </c>
      <c r="G7" s="25">
        <f>E7-F7</f>
        <v>5075.7</v>
      </c>
      <c r="K7" s="1"/>
    </row>
    <row r="8">
      <c r="E8" s="1"/>
      <c r="H8" s="1"/>
      <c r="K8" s="1"/>
    </row>
    <row r="9">
      <c r="K9" s="1"/>
    </row>
  </sheetData>
  <mergeCells count="6">
    <mergeCell ref="A1:J3"/>
    <mergeCell ref="A4:D9"/>
    <mergeCell ref="E4:G5"/>
    <mergeCell ref="H4:J7"/>
    <mergeCell ref="E8:G9"/>
    <mergeCell ref="H8:J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6.5"/>
    <col customWidth="1" min="3" max="3" width="28.25"/>
    <col customWidth="1" min="4" max="4" width="25.25"/>
    <col customWidth="1" min="5" max="5" width="19.75"/>
    <col customWidth="1" min="6" max="6" width="26.38"/>
    <col customWidth="1" min="7" max="7" width="20.0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5"/>
      <c r="J1" s="6"/>
      <c r="K1" s="6"/>
      <c r="L1" s="6"/>
    </row>
    <row r="2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11</v>
      </c>
      <c r="J2" s="13"/>
      <c r="K2" s="13"/>
      <c r="L2" s="13"/>
    </row>
    <row r="3">
      <c r="A3" s="15">
        <v>45803.0</v>
      </c>
      <c r="B3" s="17" t="s">
        <v>15</v>
      </c>
      <c r="C3" s="19"/>
      <c r="D3" s="21"/>
      <c r="E3" s="22"/>
      <c r="F3" s="23">
        <v>1.0</v>
      </c>
      <c r="G3" s="29">
        <f t="shared" ref="G3:G21" si="1">(C3*2)+D3+E3+F3</f>
        <v>1</v>
      </c>
      <c r="H3" s="31" t="b">
        <v>1</v>
      </c>
      <c r="I3" s="31" t="b">
        <v>1</v>
      </c>
      <c r="J3" s="13"/>
      <c r="K3" s="13"/>
      <c r="L3" s="13"/>
    </row>
    <row r="4">
      <c r="A4" s="15">
        <v>45803.0</v>
      </c>
      <c r="B4" s="17" t="s">
        <v>22</v>
      </c>
      <c r="C4" s="33">
        <v>1.0</v>
      </c>
      <c r="D4" s="21"/>
      <c r="E4" s="22"/>
      <c r="F4" s="23">
        <v>1.0</v>
      </c>
      <c r="G4" s="29">
        <f t="shared" si="1"/>
        <v>3</v>
      </c>
      <c r="H4" s="31" t="b">
        <v>1</v>
      </c>
      <c r="I4" s="31" t="b">
        <v>1</v>
      </c>
      <c r="J4" s="6"/>
      <c r="K4" s="13"/>
      <c r="L4" s="13"/>
    </row>
    <row r="5">
      <c r="A5" s="36">
        <v>45802.0</v>
      </c>
      <c r="B5" s="29" t="s">
        <v>25</v>
      </c>
      <c r="C5" s="19"/>
      <c r="D5" s="21">
        <v>1.0</v>
      </c>
      <c r="E5" s="22"/>
      <c r="F5" s="39"/>
      <c r="G5" s="29">
        <f t="shared" si="1"/>
        <v>1</v>
      </c>
      <c r="H5" s="31" t="b">
        <v>1</v>
      </c>
      <c r="I5" s="31" t="b">
        <v>1</v>
      </c>
      <c r="J5" s="13"/>
      <c r="K5" s="13"/>
      <c r="L5" s="13"/>
    </row>
    <row r="6">
      <c r="A6" s="36">
        <v>45802.0</v>
      </c>
      <c r="B6" s="29" t="s">
        <v>26</v>
      </c>
      <c r="C6" s="21">
        <v>1.0</v>
      </c>
      <c r="D6" s="22"/>
      <c r="E6" s="22"/>
      <c r="F6" s="29">
        <v>1.0</v>
      </c>
      <c r="G6" s="29">
        <f t="shared" si="1"/>
        <v>3</v>
      </c>
      <c r="H6" s="31" t="b">
        <v>1</v>
      </c>
      <c r="I6" s="31" t="b">
        <v>1</v>
      </c>
      <c r="J6" s="13"/>
      <c r="K6" s="13"/>
      <c r="L6" s="13"/>
    </row>
    <row r="7">
      <c r="A7" s="36">
        <v>45802.0</v>
      </c>
      <c r="B7" s="29" t="s">
        <v>27</v>
      </c>
      <c r="C7" s="19"/>
      <c r="D7" s="21">
        <v>1.0</v>
      </c>
      <c r="E7" s="22"/>
      <c r="F7" s="39"/>
      <c r="G7" s="29">
        <f t="shared" si="1"/>
        <v>1</v>
      </c>
      <c r="H7" s="31" t="b">
        <v>1</v>
      </c>
      <c r="I7" s="31" t="b">
        <v>1</v>
      </c>
      <c r="J7" s="13"/>
      <c r="K7" s="13"/>
      <c r="L7" s="13"/>
    </row>
    <row r="8">
      <c r="A8" s="36">
        <v>45802.0</v>
      </c>
      <c r="B8" s="29" t="s">
        <v>28</v>
      </c>
      <c r="C8" s="19"/>
      <c r="D8" s="22"/>
      <c r="E8" s="22"/>
      <c r="F8" s="29">
        <v>1.0</v>
      </c>
      <c r="G8" s="29">
        <f t="shared" si="1"/>
        <v>1</v>
      </c>
      <c r="H8" s="31" t="b">
        <v>1</v>
      </c>
      <c r="I8" s="31" t="b">
        <v>1</v>
      </c>
      <c r="J8" s="13"/>
      <c r="K8" s="13"/>
      <c r="L8" s="13"/>
    </row>
    <row r="9">
      <c r="A9" s="36">
        <v>45802.0</v>
      </c>
      <c r="B9" s="29" t="s">
        <v>29</v>
      </c>
      <c r="C9" s="19"/>
      <c r="D9" s="22"/>
      <c r="E9" s="22"/>
      <c r="F9" s="17">
        <v>3.0</v>
      </c>
      <c r="G9" s="29">
        <f t="shared" si="1"/>
        <v>3</v>
      </c>
      <c r="H9" s="31" t="b">
        <v>1</v>
      </c>
      <c r="I9" s="31" t="b">
        <v>1</v>
      </c>
      <c r="J9" s="13"/>
      <c r="K9" s="13"/>
      <c r="L9" s="13"/>
    </row>
    <row r="10">
      <c r="A10" s="36">
        <v>45802.0</v>
      </c>
      <c r="B10" s="29" t="s">
        <v>30</v>
      </c>
      <c r="C10" s="19"/>
      <c r="D10" s="22"/>
      <c r="E10" s="22"/>
      <c r="F10" s="29">
        <v>1.0</v>
      </c>
      <c r="G10" s="29">
        <f t="shared" si="1"/>
        <v>1</v>
      </c>
      <c r="H10" s="31" t="b">
        <v>1</v>
      </c>
      <c r="I10" s="31" t="b">
        <v>1</v>
      </c>
      <c r="J10" s="13"/>
      <c r="K10" s="13"/>
      <c r="L10" s="13"/>
    </row>
    <row r="11">
      <c r="A11" s="36">
        <v>45802.0</v>
      </c>
      <c r="B11" s="29" t="s">
        <v>31</v>
      </c>
      <c r="C11" s="19"/>
      <c r="D11" s="22"/>
      <c r="E11" s="22"/>
      <c r="F11" s="29">
        <v>1.0</v>
      </c>
      <c r="G11" s="29">
        <f t="shared" si="1"/>
        <v>1</v>
      </c>
      <c r="H11" s="31" t="b">
        <v>1</v>
      </c>
      <c r="I11" s="31" t="b">
        <v>1</v>
      </c>
      <c r="J11" s="13"/>
      <c r="K11" s="13"/>
      <c r="L11" s="13"/>
    </row>
    <row r="12">
      <c r="A12" s="36">
        <v>45802.0</v>
      </c>
      <c r="B12" s="29" t="s">
        <v>32</v>
      </c>
      <c r="C12" s="19"/>
      <c r="D12" s="22"/>
      <c r="E12" s="22"/>
      <c r="F12" s="17">
        <v>4.0</v>
      </c>
      <c r="G12" s="29">
        <f t="shared" si="1"/>
        <v>4</v>
      </c>
      <c r="H12" s="31" t="b">
        <v>1</v>
      </c>
      <c r="I12" s="31" t="b">
        <v>1</v>
      </c>
      <c r="J12" s="13"/>
      <c r="K12" s="13"/>
      <c r="L12" s="13"/>
    </row>
    <row r="13">
      <c r="A13" s="36">
        <v>45802.0</v>
      </c>
      <c r="B13" s="29" t="s">
        <v>33</v>
      </c>
      <c r="C13" s="19"/>
      <c r="D13" s="22"/>
      <c r="E13" s="22"/>
      <c r="F13" s="29">
        <v>1.0</v>
      </c>
      <c r="G13" s="29">
        <f t="shared" si="1"/>
        <v>1</v>
      </c>
      <c r="H13" s="31" t="b">
        <v>1</v>
      </c>
      <c r="I13" s="31" t="b">
        <v>1</v>
      </c>
      <c r="J13" s="13"/>
      <c r="K13" s="13"/>
      <c r="L13" s="13"/>
    </row>
    <row r="14">
      <c r="A14" s="36">
        <v>45802.0</v>
      </c>
      <c r="B14" s="29" t="s">
        <v>34</v>
      </c>
      <c r="C14" s="19"/>
      <c r="D14" s="22"/>
      <c r="E14" s="22"/>
      <c r="F14" s="29">
        <v>1.0</v>
      </c>
      <c r="G14" s="29">
        <f t="shared" si="1"/>
        <v>1</v>
      </c>
      <c r="H14" s="31" t="b">
        <v>1</v>
      </c>
      <c r="I14" s="31" t="b">
        <v>1</v>
      </c>
      <c r="J14" s="13"/>
      <c r="K14" s="13"/>
      <c r="L14" s="13"/>
    </row>
    <row r="15">
      <c r="A15" s="36">
        <v>45802.0</v>
      </c>
      <c r="B15" s="29" t="s">
        <v>36</v>
      </c>
      <c r="C15" s="19"/>
      <c r="D15" s="22"/>
      <c r="E15" s="22"/>
      <c r="F15" s="29">
        <v>1.0</v>
      </c>
      <c r="G15" s="29">
        <f t="shared" si="1"/>
        <v>1</v>
      </c>
      <c r="H15" s="31" t="b">
        <v>1</v>
      </c>
      <c r="I15" s="31" t="b">
        <v>1</v>
      </c>
      <c r="J15" s="13"/>
      <c r="K15" s="13"/>
      <c r="L15" s="13"/>
    </row>
    <row r="16">
      <c r="A16" s="36">
        <v>45802.0</v>
      </c>
      <c r="B16" s="29" t="s">
        <v>37</v>
      </c>
      <c r="C16" s="21">
        <v>1.0</v>
      </c>
      <c r="D16" s="22"/>
      <c r="E16" s="22"/>
      <c r="F16" s="39"/>
      <c r="G16" s="29">
        <f t="shared" si="1"/>
        <v>2</v>
      </c>
      <c r="H16" s="31" t="b">
        <v>1</v>
      </c>
      <c r="I16" s="31" t="b">
        <v>1</v>
      </c>
      <c r="J16" s="13"/>
      <c r="K16" s="13"/>
      <c r="L16" s="13"/>
    </row>
    <row r="17">
      <c r="A17" s="36">
        <v>45802.0</v>
      </c>
      <c r="B17" s="29" t="s">
        <v>38</v>
      </c>
      <c r="C17" s="19"/>
      <c r="D17" s="21">
        <v>1.0</v>
      </c>
      <c r="E17" s="22"/>
      <c r="F17" s="39"/>
      <c r="G17" s="29">
        <f t="shared" si="1"/>
        <v>1</v>
      </c>
      <c r="H17" s="31" t="b">
        <v>1</v>
      </c>
      <c r="I17" s="31" t="b">
        <v>1</v>
      </c>
      <c r="J17" s="13"/>
      <c r="K17" s="13"/>
      <c r="L17" s="13"/>
    </row>
    <row r="18">
      <c r="A18" s="36">
        <v>45802.0</v>
      </c>
      <c r="B18" s="29" t="s">
        <v>39</v>
      </c>
      <c r="C18" s="19"/>
      <c r="D18" s="22"/>
      <c r="E18" s="22"/>
      <c r="F18" s="29">
        <v>1.0</v>
      </c>
      <c r="G18" s="29">
        <f t="shared" si="1"/>
        <v>1</v>
      </c>
      <c r="H18" s="31" t="b">
        <v>1</v>
      </c>
      <c r="I18" s="31" t="b">
        <v>1</v>
      </c>
      <c r="J18" s="13"/>
      <c r="K18" s="13"/>
      <c r="L18" s="13"/>
    </row>
    <row r="19">
      <c r="A19" s="36">
        <v>45802.0</v>
      </c>
      <c r="B19" s="29" t="s">
        <v>40</v>
      </c>
      <c r="C19" s="19"/>
      <c r="D19" s="22"/>
      <c r="E19" s="22"/>
      <c r="F19" s="29">
        <v>1.0</v>
      </c>
      <c r="G19" s="29">
        <f t="shared" si="1"/>
        <v>1</v>
      </c>
      <c r="H19" s="31" t="b">
        <v>1</v>
      </c>
      <c r="I19" s="31" t="b">
        <v>1</v>
      </c>
      <c r="J19" s="13"/>
      <c r="K19" s="13"/>
      <c r="L19" s="13"/>
    </row>
    <row r="20">
      <c r="A20" s="36">
        <v>45802.0</v>
      </c>
      <c r="B20" s="29" t="s">
        <v>41</v>
      </c>
      <c r="C20" s="19"/>
      <c r="D20" s="22"/>
      <c r="E20" s="22"/>
      <c r="F20" s="29">
        <v>1.0</v>
      </c>
      <c r="G20" s="29">
        <f t="shared" si="1"/>
        <v>1</v>
      </c>
      <c r="H20" s="31" t="b">
        <v>1</v>
      </c>
      <c r="I20" s="31" t="b">
        <v>1</v>
      </c>
      <c r="J20" s="13"/>
      <c r="K20" s="13"/>
      <c r="L20" s="13"/>
    </row>
    <row r="21">
      <c r="A21" s="36">
        <v>45802.0</v>
      </c>
      <c r="B21" s="29" t="s">
        <v>42</v>
      </c>
      <c r="C21" s="19"/>
      <c r="D21" s="22"/>
      <c r="E21" s="21">
        <v>1.0</v>
      </c>
      <c r="F21" s="39"/>
      <c r="G21" s="29">
        <f t="shared" si="1"/>
        <v>1</v>
      </c>
      <c r="H21" s="31" t="b">
        <v>1</v>
      </c>
      <c r="I21" s="31" t="b">
        <v>1</v>
      </c>
      <c r="J21" s="13"/>
      <c r="K21" s="13"/>
      <c r="L21" s="13"/>
    </row>
    <row r="22">
      <c r="A22" s="56">
        <v>45801.0</v>
      </c>
      <c r="B22" s="57" t="s">
        <v>43</v>
      </c>
      <c r="C22" s="58"/>
      <c r="D22" s="59">
        <v>50.0</v>
      </c>
      <c r="E22" s="60"/>
      <c r="F22" s="61"/>
      <c r="G22" s="57">
        <v>50.0</v>
      </c>
      <c r="H22" s="57" t="b">
        <v>1</v>
      </c>
      <c r="I22" s="57" t="b">
        <v>1</v>
      </c>
      <c r="J22" s="6"/>
      <c r="K22" s="13"/>
      <c r="L22" s="13"/>
    </row>
    <row r="23">
      <c r="A23" s="56">
        <v>45801.0</v>
      </c>
      <c r="B23" s="57" t="s">
        <v>46</v>
      </c>
      <c r="C23" s="58"/>
      <c r="D23" s="60"/>
      <c r="E23" s="60"/>
      <c r="F23" s="57">
        <v>1.0</v>
      </c>
      <c r="G23" s="57">
        <f t="shared" ref="G23:G329" si="2">(C23*2)+D23+E23+F23</f>
        <v>1</v>
      </c>
      <c r="H23" s="57" t="b">
        <v>1</v>
      </c>
      <c r="I23" s="57" t="b">
        <v>1</v>
      </c>
      <c r="J23" s="6"/>
      <c r="K23" s="13"/>
      <c r="L23" s="13"/>
    </row>
    <row r="24">
      <c r="A24" s="56">
        <v>45801.0</v>
      </c>
      <c r="B24" s="57" t="s">
        <v>48</v>
      </c>
      <c r="C24" s="59">
        <v>1.0</v>
      </c>
      <c r="D24" s="60"/>
      <c r="E24" s="60"/>
      <c r="F24" s="57">
        <v>1.0</v>
      </c>
      <c r="G24" s="57">
        <f t="shared" si="2"/>
        <v>3</v>
      </c>
      <c r="H24" s="57" t="b">
        <v>1</v>
      </c>
      <c r="I24" s="57" t="b">
        <v>1</v>
      </c>
      <c r="J24" s="6"/>
      <c r="K24" s="13"/>
      <c r="L24" s="13"/>
    </row>
    <row r="25">
      <c r="A25" s="56">
        <v>45801.0</v>
      </c>
      <c r="B25" s="57" t="s">
        <v>33</v>
      </c>
      <c r="C25" s="58"/>
      <c r="D25" s="60"/>
      <c r="E25" s="60"/>
      <c r="F25" s="57">
        <v>1.0</v>
      </c>
      <c r="G25" s="57">
        <f t="shared" si="2"/>
        <v>1</v>
      </c>
      <c r="H25" s="57" t="b">
        <v>1</v>
      </c>
      <c r="I25" s="57" t="b">
        <v>1</v>
      </c>
      <c r="J25" s="6"/>
      <c r="K25" s="13"/>
      <c r="L25" s="13"/>
    </row>
    <row r="26">
      <c r="A26" s="56">
        <v>45801.0</v>
      </c>
      <c r="B26" s="57" t="s">
        <v>50</v>
      </c>
      <c r="C26" s="58"/>
      <c r="D26" s="60"/>
      <c r="E26" s="60"/>
      <c r="F26" s="57">
        <v>1.0</v>
      </c>
      <c r="G26" s="57">
        <f t="shared" si="2"/>
        <v>1</v>
      </c>
      <c r="H26" s="57" t="b">
        <v>1</v>
      </c>
      <c r="I26" s="57" t="b">
        <v>1</v>
      </c>
      <c r="J26" s="6"/>
      <c r="K26" s="13"/>
      <c r="L26" s="13"/>
    </row>
    <row r="27">
      <c r="A27" s="56">
        <v>45801.0</v>
      </c>
      <c r="B27" s="57" t="s">
        <v>32</v>
      </c>
      <c r="C27" s="58"/>
      <c r="D27" s="60"/>
      <c r="E27" s="60"/>
      <c r="F27" s="57">
        <v>2.0</v>
      </c>
      <c r="G27" s="57">
        <f t="shared" si="2"/>
        <v>2</v>
      </c>
      <c r="H27" s="57" t="b">
        <v>1</v>
      </c>
      <c r="I27" s="57" t="b">
        <v>1</v>
      </c>
      <c r="J27" s="6"/>
      <c r="K27" s="13"/>
      <c r="L27" s="13"/>
    </row>
    <row r="28">
      <c r="A28" s="56">
        <v>45801.0</v>
      </c>
      <c r="B28" s="57" t="s">
        <v>41</v>
      </c>
      <c r="C28" s="58"/>
      <c r="D28" s="60"/>
      <c r="E28" s="60"/>
      <c r="F28" s="57">
        <v>1.0</v>
      </c>
      <c r="G28" s="57">
        <f t="shared" si="2"/>
        <v>1</v>
      </c>
      <c r="H28" s="57" t="b">
        <v>1</v>
      </c>
      <c r="I28" s="57" t="b">
        <v>1</v>
      </c>
      <c r="J28" s="6"/>
      <c r="K28" s="13"/>
      <c r="L28" s="13"/>
    </row>
    <row r="29">
      <c r="A29" s="56">
        <v>45801.0</v>
      </c>
      <c r="B29" s="57" t="s">
        <v>40</v>
      </c>
      <c r="C29" s="58"/>
      <c r="D29" s="60"/>
      <c r="E29" s="60"/>
      <c r="F29" s="57">
        <v>1.0</v>
      </c>
      <c r="G29" s="57">
        <f t="shared" si="2"/>
        <v>1</v>
      </c>
      <c r="H29" s="57" t="b">
        <v>1</v>
      </c>
      <c r="I29" s="57" t="b">
        <v>1</v>
      </c>
      <c r="J29" s="6"/>
      <c r="K29" s="13"/>
      <c r="L29" s="13"/>
    </row>
    <row r="30">
      <c r="A30" s="56">
        <v>45801.0</v>
      </c>
      <c r="B30" s="57" t="s">
        <v>53</v>
      </c>
      <c r="C30" s="58"/>
      <c r="D30" s="60"/>
      <c r="E30" s="60"/>
      <c r="F30" s="57">
        <v>1.0</v>
      </c>
      <c r="G30" s="57">
        <f t="shared" si="2"/>
        <v>1</v>
      </c>
      <c r="H30" s="57" t="b">
        <v>1</v>
      </c>
      <c r="I30" s="57" t="b">
        <v>1</v>
      </c>
      <c r="J30" s="6"/>
      <c r="K30" s="13"/>
      <c r="L30" s="13"/>
    </row>
    <row r="31">
      <c r="A31" s="56">
        <v>45801.0</v>
      </c>
      <c r="B31" s="57" t="s">
        <v>55</v>
      </c>
      <c r="C31" s="59">
        <v>1.0</v>
      </c>
      <c r="D31" s="60"/>
      <c r="E31" s="60"/>
      <c r="F31" s="57">
        <v>1.0</v>
      </c>
      <c r="G31" s="57">
        <f t="shared" si="2"/>
        <v>3</v>
      </c>
      <c r="H31" s="57" t="b">
        <v>1</v>
      </c>
      <c r="I31" s="57" t="b">
        <v>1</v>
      </c>
      <c r="J31" s="6"/>
      <c r="K31" s="13"/>
      <c r="L31" s="13"/>
    </row>
    <row r="32">
      <c r="A32" s="56">
        <v>45801.0</v>
      </c>
      <c r="B32" s="57" t="s">
        <v>56</v>
      </c>
      <c r="C32" s="59">
        <v>2.0</v>
      </c>
      <c r="D32" s="60"/>
      <c r="E32" s="60"/>
      <c r="F32" s="61"/>
      <c r="G32" s="57">
        <f t="shared" si="2"/>
        <v>4</v>
      </c>
      <c r="H32" s="57" t="b">
        <v>1</v>
      </c>
      <c r="I32" s="57" t="b">
        <v>1</v>
      </c>
      <c r="J32" s="6"/>
      <c r="K32" s="13"/>
      <c r="L32" s="13"/>
    </row>
    <row r="33">
      <c r="A33" s="56">
        <v>45801.0</v>
      </c>
      <c r="B33" s="57" t="s">
        <v>39</v>
      </c>
      <c r="C33" s="58"/>
      <c r="D33" s="60"/>
      <c r="E33" s="60"/>
      <c r="F33" s="57">
        <v>1.0</v>
      </c>
      <c r="G33" s="57">
        <f t="shared" si="2"/>
        <v>1</v>
      </c>
      <c r="H33" s="57" t="b">
        <v>1</v>
      </c>
      <c r="I33" s="57" t="b">
        <v>1</v>
      </c>
      <c r="J33" s="6"/>
      <c r="K33" s="13"/>
      <c r="L33" s="13"/>
    </row>
    <row r="34">
      <c r="A34" s="56">
        <v>45801.0</v>
      </c>
      <c r="B34" s="57" t="s">
        <v>57</v>
      </c>
      <c r="C34" s="58"/>
      <c r="D34" s="59">
        <v>6.0</v>
      </c>
      <c r="E34" s="60"/>
      <c r="F34" s="61"/>
      <c r="G34" s="57">
        <f t="shared" si="2"/>
        <v>6</v>
      </c>
      <c r="H34" s="57" t="b">
        <v>1</v>
      </c>
      <c r="I34" s="57" t="b">
        <v>1</v>
      </c>
      <c r="J34" s="6"/>
      <c r="K34" s="13"/>
      <c r="L34" s="13"/>
    </row>
    <row r="35">
      <c r="A35" s="56">
        <v>45801.0</v>
      </c>
      <c r="B35" s="57" t="s">
        <v>59</v>
      </c>
      <c r="C35" s="58"/>
      <c r="D35" s="59">
        <v>1.0</v>
      </c>
      <c r="E35" s="60"/>
      <c r="F35" s="61"/>
      <c r="G35" s="57">
        <f t="shared" si="2"/>
        <v>1</v>
      </c>
      <c r="H35" s="57" t="b">
        <v>1</v>
      </c>
      <c r="I35" s="57" t="b">
        <v>1</v>
      </c>
      <c r="J35" s="6"/>
      <c r="K35" s="13"/>
      <c r="L35" s="13"/>
    </row>
    <row r="36">
      <c r="A36" s="56">
        <v>45801.0</v>
      </c>
      <c r="B36" s="57" t="s">
        <v>22</v>
      </c>
      <c r="C36" s="58"/>
      <c r="D36" s="59">
        <v>10.0</v>
      </c>
      <c r="E36" s="60"/>
      <c r="F36" s="61"/>
      <c r="G36" s="57">
        <f t="shared" si="2"/>
        <v>10</v>
      </c>
      <c r="H36" s="57" t="b">
        <v>1</v>
      </c>
      <c r="I36" s="57" t="b">
        <v>1</v>
      </c>
      <c r="J36" s="6"/>
      <c r="K36" s="13"/>
      <c r="L36" s="13"/>
    </row>
    <row r="37">
      <c r="A37" s="56">
        <v>45801.0</v>
      </c>
      <c r="B37" s="57" t="s">
        <v>61</v>
      </c>
      <c r="C37" s="58"/>
      <c r="D37" s="60"/>
      <c r="E37" s="60"/>
      <c r="F37" s="57">
        <v>1.0</v>
      </c>
      <c r="G37" s="57">
        <f t="shared" si="2"/>
        <v>1</v>
      </c>
      <c r="H37" s="57" t="b">
        <v>1</v>
      </c>
      <c r="I37" s="57" t="b">
        <v>1</v>
      </c>
      <c r="J37" s="6"/>
      <c r="K37" s="13"/>
      <c r="L37" s="13"/>
    </row>
    <row r="38">
      <c r="A38" s="56">
        <v>45801.0</v>
      </c>
      <c r="B38" s="57" t="s">
        <v>62</v>
      </c>
      <c r="C38" s="58"/>
      <c r="D38" s="60"/>
      <c r="E38" s="60"/>
      <c r="F38" s="57">
        <v>2.0</v>
      </c>
      <c r="G38" s="57">
        <f t="shared" si="2"/>
        <v>2</v>
      </c>
      <c r="H38" s="57" t="b">
        <v>1</v>
      </c>
      <c r="I38" s="57" t="b">
        <v>1</v>
      </c>
      <c r="J38" s="6"/>
      <c r="K38" s="13"/>
      <c r="L38" s="13"/>
    </row>
    <row r="39">
      <c r="A39" s="56">
        <v>45800.0</v>
      </c>
      <c r="B39" s="57" t="s">
        <v>31</v>
      </c>
      <c r="C39" s="59">
        <v>2.0</v>
      </c>
      <c r="D39" s="59">
        <v>1.0</v>
      </c>
      <c r="E39" s="60"/>
      <c r="F39" s="61"/>
      <c r="G39" s="57">
        <f t="shared" si="2"/>
        <v>5</v>
      </c>
      <c r="H39" s="57" t="b">
        <v>1</v>
      </c>
      <c r="I39" s="57" t="b">
        <v>1</v>
      </c>
      <c r="J39" s="6"/>
      <c r="K39" s="13"/>
      <c r="L39" s="13"/>
    </row>
    <row r="40">
      <c r="A40" s="56">
        <v>45800.0</v>
      </c>
      <c r="B40" s="57" t="s">
        <v>65</v>
      </c>
      <c r="C40" s="58"/>
      <c r="D40" s="60"/>
      <c r="E40" s="60"/>
      <c r="F40" s="57">
        <v>1.0</v>
      </c>
      <c r="G40" s="57">
        <f t="shared" si="2"/>
        <v>1</v>
      </c>
      <c r="H40" s="57" t="b">
        <v>1</v>
      </c>
      <c r="I40" s="57" t="b">
        <v>1</v>
      </c>
      <c r="J40" s="6"/>
      <c r="K40" s="13"/>
      <c r="L40" s="13"/>
    </row>
    <row r="41">
      <c r="A41" s="56">
        <v>45800.0</v>
      </c>
      <c r="B41" s="57" t="s">
        <v>68</v>
      </c>
      <c r="C41" s="59">
        <v>2.0</v>
      </c>
      <c r="D41" s="60"/>
      <c r="E41" s="60"/>
      <c r="F41" s="61"/>
      <c r="G41" s="57">
        <f t="shared" si="2"/>
        <v>4</v>
      </c>
      <c r="H41" s="57" t="b">
        <v>1</v>
      </c>
      <c r="I41" s="57" t="b">
        <v>1</v>
      </c>
      <c r="J41" s="6"/>
      <c r="K41" s="13"/>
      <c r="L41" s="13"/>
    </row>
    <row r="42">
      <c r="A42" s="56">
        <v>45800.0</v>
      </c>
      <c r="B42" s="57" t="s">
        <v>69</v>
      </c>
      <c r="C42" s="59">
        <v>1.0</v>
      </c>
      <c r="D42" s="60"/>
      <c r="E42" s="60"/>
      <c r="F42" s="61"/>
      <c r="G42" s="57">
        <f t="shared" si="2"/>
        <v>2</v>
      </c>
      <c r="H42" s="57" t="b">
        <v>1</v>
      </c>
      <c r="I42" s="57" t="b">
        <v>1</v>
      </c>
      <c r="J42" s="6"/>
      <c r="K42" s="13"/>
      <c r="L42" s="13"/>
    </row>
    <row r="43">
      <c r="A43" s="56">
        <v>45800.0</v>
      </c>
      <c r="B43" s="57" t="s">
        <v>70</v>
      </c>
      <c r="C43" s="58"/>
      <c r="D43" s="60"/>
      <c r="E43" s="59">
        <v>1.0</v>
      </c>
      <c r="F43" s="61"/>
      <c r="G43" s="57">
        <f t="shared" si="2"/>
        <v>1</v>
      </c>
      <c r="H43" s="57" t="b">
        <v>1</v>
      </c>
      <c r="I43" s="57" t="b">
        <v>1</v>
      </c>
      <c r="J43" s="6"/>
      <c r="K43" s="13"/>
      <c r="L43" s="13"/>
    </row>
    <row r="44">
      <c r="A44" s="56">
        <v>45800.0</v>
      </c>
      <c r="B44" s="57" t="s">
        <v>62</v>
      </c>
      <c r="C44" s="58"/>
      <c r="D44" s="60"/>
      <c r="E44" s="59">
        <v>1.0</v>
      </c>
      <c r="F44" s="61"/>
      <c r="G44" s="57">
        <f t="shared" si="2"/>
        <v>1</v>
      </c>
      <c r="H44" s="57" t="b">
        <v>1</v>
      </c>
      <c r="I44" s="57" t="b">
        <v>1</v>
      </c>
      <c r="J44" s="6"/>
      <c r="K44" s="13"/>
      <c r="L44" s="13"/>
    </row>
    <row r="45">
      <c r="A45" s="56">
        <v>45800.0</v>
      </c>
      <c r="B45" s="57" t="s">
        <v>72</v>
      </c>
      <c r="C45" s="59">
        <v>1.0</v>
      </c>
      <c r="D45" s="60"/>
      <c r="E45" s="60"/>
      <c r="F45" s="61"/>
      <c r="G45" s="57">
        <f t="shared" si="2"/>
        <v>2</v>
      </c>
      <c r="H45" s="57" t="b">
        <v>1</v>
      </c>
      <c r="I45" s="57" t="b">
        <v>1</v>
      </c>
      <c r="J45" s="6"/>
      <c r="K45" s="13"/>
      <c r="L45" s="13"/>
    </row>
    <row r="46">
      <c r="A46" s="56">
        <v>45800.0</v>
      </c>
      <c r="B46" s="57" t="s">
        <v>75</v>
      </c>
      <c r="C46" s="59">
        <v>1.0</v>
      </c>
      <c r="D46" s="60"/>
      <c r="E46" s="60"/>
      <c r="F46" s="61"/>
      <c r="G46" s="57">
        <f t="shared" si="2"/>
        <v>2</v>
      </c>
      <c r="H46" s="57" t="b">
        <v>1</v>
      </c>
      <c r="I46" s="57" t="b">
        <v>1</v>
      </c>
      <c r="J46" s="6"/>
      <c r="K46" s="13"/>
      <c r="L46" s="13"/>
    </row>
    <row r="47">
      <c r="A47" s="56">
        <v>45800.0</v>
      </c>
      <c r="B47" s="57" t="s">
        <v>77</v>
      </c>
      <c r="C47" s="59">
        <v>1.0</v>
      </c>
      <c r="D47" s="60"/>
      <c r="E47" s="60"/>
      <c r="F47" s="61"/>
      <c r="G47" s="57">
        <f t="shared" si="2"/>
        <v>2</v>
      </c>
      <c r="H47" s="57" t="b">
        <v>1</v>
      </c>
      <c r="I47" s="57" t="b">
        <v>1</v>
      </c>
      <c r="J47" s="6"/>
      <c r="K47" s="13"/>
      <c r="L47" s="13"/>
    </row>
    <row r="48">
      <c r="A48" s="56">
        <v>45800.0</v>
      </c>
      <c r="B48" s="57" t="s">
        <v>78</v>
      </c>
      <c r="C48" s="58"/>
      <c r="D48" s="59">
        <v>1.0</v>
      </c>
      <c r="E48" s="60"/>
      <c r="F48" s="61"/>
      <c r="G48" s="57">
        <f t="shared" si="2"/>
        <v>1</v>
      </c>
      <c r="H48" s="57" t="b">
        <v>1</v>
      </c>
      <c r="I48" s="57" t="b">
        <v>1</v>
      </c>
      <c r="J48" s="6"/>
      <c r="K48" s="13"/>
      <c r="L48" s="13"/>
    </row>
    <row r="49">
      <c r="A49" s="56">
        <v>45800.0</v>
      </c>
      <c r="B49" s="57" t="s">
        <v>79</v>
      </c>
      <c r="C49" s="58"/>
      <c r="D49" s="59">
        <v>1.0</v>
      </c>
      <c r="E49" s="60"/>
      <c r="F49" s="61"/>
      <c r="G49" s="57">
        <f t="shared" si="2"/>
        <v>1</v>
      </c>
      <c r="H49" s="57" t="b">
        <v>1</v>
      </c>
      <c r="I49" s="57" t="b">
        <v>1</v>
      </c>
      <c r="J49" s="6"/>
      <c r="K49" s="13"/>
      <c r="L49" s="13"/>
    </row>
    <row r="50">
      <c r="A50" s="56">
        <v>45800.0</v>
      </c>
      <c r="B50" s="57" t="s">
        <v>80</v>
      </c>
      <c r="C50" s="58"/>
      <c r="D50" s="60"/>
      <c r="E50" s="59">
        <v>1.0</v>
      </c>
      <c r="F50" s="61"/>
      <c r="G50" s="57">
        <f t="shared" si="2"/>
        <v>1</v>
      </c>
      <c r="H50" s="57" t="b">
        <v>1</v>
      </c>
      <c r="I50" s="57" t="b">
        <v>1</v>
      </c>
      <c r="J50" s="6"/>
      <c r="K50" s="13"/>
      <c r="L50" s="13"/>
    </row>
    <row r="51">
      <c r="A51" s="56">
        <v>45800.0</v>
      </c>
      <c r="B51" s="57" t="s">
        <v>82</v>
      </c>
      <c r="C51" s="59">
        <v>1.0</v>
      </c>
      <c r="D51" s="60"/>
      <c r="E51" s="60"/>
      <c r="F51" s="61"/>
      <c r="G51" s="57">
        <f t="shared" si="2"/>
        <v>2</v>
      </c>
      <c r="H51" s="57" t="b">
        <v>1</v>
      </c>
      <c r="I51" s="57" t="b">
        <v>1</v>
      </c>
      <c r="J51" s="6"/>
      <c r="K51" s="13"/>
      <c r="L51" s="13"/>
    </row>
    <row r="52">
      <c r="A52" s="56">
        <v>45800.0</v>
      </c>
      <c r="B52" s="57" t="s">
        <v>83</v>
      </c>
      <c r="C52" s="59">
        <v>1.0</v>
      </c>
      <c r="D52" s="60"/>
      <c r="E52" s="60"/>
      <c r="F52" s="57">
        <v>1.0</v>
      </c>
      <c r="G52" s="57">
        <f t="shared" si="2"/>
        <v>3</v>
      </c>
      <c r="H52" s="57" t="b">
        <v>1</v>
      </c>
      <c r="I52" s="57" t="b">
        <v>1</v>
      </c>
      <c r="J52" s="6"/>
      <c r="K52" s="13"/>
      <c r="L52" s="13"/>
    </row>
    <row r="53">
      <c r="A53" s="56">
        <v>45800.0</v>
      </c>
      <c r="B53" s="57" t="s">
        <v>86</v>
      </c>
      <c r="C53" s="59">
        <v>1.0</v>
      </c>
      <c r="D53" s="60"/>
      <c r="E53" s="60"/>
      <c r="F53" s="61"/>
      <c r="G53" s="57">
        <f t="shared" si="2"/>
        <v>2</v>
      </c>
      <c r="H53" s="57" t="b">
        <v>1</v>
      </c>
      <c r="I53" s="57" t="b">
        <v>1</v>
      </c>
      <c r="J53" s="6"/>
      <c r="K53" s="13"/>
      <c r="L53" s="13"/>
    </row>
    <row r="54">
      <c r="A54" s="56">
        <v>45800.0</v>
      </c>
      <c r="B54" s="57" t="s">
        <v>87</v>
      </c>
      <c r="C54" s="59">
        <v>1.0</v>
      </c>
      <c r="D54" s="60"/>
      <c r="E54" s="60"/>
      <c r="F54" s="57">
        <v>1.0</v>
      </c>
      <c r="G54" s="57">
        <f t="shared" si="2"/>
        <v>3</v>
      </c>
      <c r="H54" s="57" t="b">
        <v>1</v>
      </c>
      <c r="I54" s="57" t="b">
        <v>1</v>
      </c>
      <c r="J54" s="6"/>
      <c r="K54" s="13"/>
      <c r="L54" s="13"/>
    </row>
    <row r="55">
      <c r="A55" s="56">
        <v>45800.0</v>
      </c>
      <c r="B55" s="57" t="s">
        <v>72</v>
      </c>
      <c r="C55" s="59">
        <v>3.0</v>
      </c>
      <c r="D55" s="59">
        <v>1.0</v>
      </c>
      <c r="E55" s="59">
        <v>1.0</v>
      </c>
      <c r="F55" s="61"/>
      <c r="G55" s="57">
        <f t="shared" si="2"/>
        <v>8</v>
      </c>
      <c r="H55" s="57" t="b">
        <v>1</v>
      </c>
      <c r="I55" s="57" t="b">
        <v>1</v>
      </c>
      <c r="J55" s="6"/>
      <c r="K55" s="13"/>
      <c r="L55" s="13"/>
    </row>
    <row r="56">
      <c r="A56" s="56">
        <v>45800.0</v>
      </c>
      <c r="B56" s="57" t="s">
        <v>90</v>
      </c>
      <c r="C56" s="58"/>
      <c r="D56" s="60"/>
      <c r="E56" s="60"/>
      <c r="F56" s="57">
        <v>1.0</v>
      </c>
      <c r="G56" s="57">
        <f t="shared" si="2"/>
        <v>1</v>
      </c>
      <c r="H56" s="57" t="b">
        <v>1</v>
      </c>
      <c r="I56" s="57" t="b">
        <v>1</v>
      </c>
      <c r="J56" s="6"/>
      <c r="K56" s="13"/>
      <c r="L56" s="13"/>
    </row>
    <row r="57">
      <c r="A57" s="56">
        <v>45800.0</v>
      </c>
      <c r="B57" s="57" t="s">
        <v>22</v>
      </c>
      <c r="C57" s="59">
        <v>5.0</v>
      </c>
      <c r="D57" s="60"/>
      <c r="E57" s="60"/>
      <c r="F57" s="61"/>
      <c r="G57" s="57">
        <f t="shared" si="2"/>
        <v>10</v>
      </c>
      <c r="H57" s="57" t="b">
        <v>1</v>
      </c>
      <c r="I57" s="57" t="b">
        <v>1</v>
      </c>
      <c r="J57" s="6"/>
      <c r="K57" s="13"/>
      <c r="L57" s="13"/>
    </row>
    <row r="58">
      <c r="A58" s="56">
        <v>45800.0</v>
      </c>
      <c r="B58" s="57" t="s">
        <v>50</v>
      </c>
      <c r="C58" s="59">
        <v>1.0</v>
      </c>
      <c r="D58" s="60"/>
      <c r="E58" s="60"/>
      <c r="F58" s="61"/>
      <c r="G58" s="57">
        <f t="shared" si="2"/>
        <v>2</v>
      </c>
      <c r="H58" s="57" t="b">
        <v>1</v>
      </c>
      <c r="I58" s="57" t="b">
        <v>1</v>
      </c>
      <c r="J58" s="6"/>
      <c r="K58" s="13"/>
      <c r="L58" s="13"/>
    </row>
    <row r="59">
      <c r="A59" s="56">
        <v>45800.0</v>
      </c>
      <c r="B59" s="57" t="s">
        <v>94</v>
      </c>
      <c r="C59" s="58"/>
      <c r="D59" s="59">
        <v>1.0</v>
      </c>
      <c r="E59" s="60"/>
      <c r="F59" s="61"/>
      <c r="G59" s="57">
        <f t="shared" si="2"/>
        <v>1</v>
      </c>
      <c r="H59" s="57" t="b">
        <v>1</v>
      </c>
      <c r="I59" s="57" t="b">
        <v>1</v>
      </c>
      <c r="J59" s="6"/>
      <c r="K59" s="13"/>
      <c r="L59" s="13"/>
    </row>
    <row r="60">
      <c r="A60" s="56">
        <v>45800.0</v>
      </c>
      <c r="B60" s="57" t="s">
        <v>96</v>
      </c>
      <c r="C60" s="59">
        <v>1.0</v>
      </c>
      <c r="D60" s="60"/>
      <c r="E60" s="60"/>
      <c r="F60" s="61"/>
      <c r="G60" s="57">
        <f t="shared" si="2"/>
        <v>2</v>
      </c>
      <c r="H60" s="57" t="b">
        <v>1</v>
      </c>
      <c r="I60" s="57" t="b">
        <v>1</v>
      </c>
      <c r="J60" s="6"/>
      <c r="K60" s="13"/>
      <c r="L60" s="13"/>
    </row>
    <row r="61">
      <c r="A61" s="56">
        <v>45800.0</v>
      </c>
      <c r="B61" s="57" t="s">
        <v>97</v>
      </c>
      <c r="C61" s="59">
        <v>1.0</v>
      </c>
      <c r="D61" s="60"/>
      <c r="E61" s="60"/>
      <c r="F61" s="61"/>
      <c r="G61" s="57">
        <f t="shared" si="2"/>
        <v>2</v>
      </c>
      <c r="H61" s="57" t="b">
        <v>1</v>
      </c>
      <c r="I61" s="57" t="b">
        <v>1</v>
      </c>
      <c r="J61" s="6"/>
      <c r="K61" s="13"/>
      <c r="L61" s="13"/>
    </row>
    <row r="62">
      <c r="A62" s="56">
        <v>45800.0</v>
      </c>
      <c r="B62" s="57" t="s">
        <v>97</v>
      </c>
      <c r="C62" s="59">
        <v>1.0</v>
      </c>
      <c r="D62" s="60"/>
      <c r="E62" s="60"/>
      <c r="F62" s="61"/>
      <c r="G62" s="57">
        <f t="shared" si="2"/>
        <v>2</v>
      </c>
      <c r="H62" s="57" t="b">
        <v>1</v>
      </c>
      <c r="I62" s="57" t="b">
        <v>1</v>
      </c>
      <c r="J62" s="6"/>
      <c r="K62" s="13"/>
      <c r="L62" s="13"/>
    </row>
    <row r="63">
      <c r="A63" s="56">
        <v>45800.0</v>
      </c>
      <c r="B63" s="57" t="s">
        <v>98</v>
      </c>
      <c r="C63" s="59">
        <v>2.0</v>
      </c>
      <c r="D63" s="60"/>
      <c r="E63" s="60"/>
      <c r="F63" s="61"/>
      <c r="G63" s="57">
        <f t="shared" si="2"/>
        <v>4</v>
      </c>
      <c r="H63" s="57" t="b">
        <v>1</v>
      </c>
      <c r="I63" s="57" t="b">
        <v>1</v>
      </c>
      <c r="J63" s="6"/>
      <c r="K63" s="13"/>
      <c r="L63" s="13"/>
    </row>
    <row r="64">
      <c r="A64" s="56">
        <v>45800.0</v>
      </c>
      <c r="B64" s="57" t="s">
        <v>99</v>
      </c>
      <c r="C64" s="59">
        <v>1.0</v>
      </c>
      <c r="D64" s="60"/>
      <c r="E64" s="60"/>
      <c r="F64" s="61"/>
      <c r="G64" s="57">
        <f t="shared" si="2"/>
        <v>2</v>
      </c>
      <c r="H64" s="57" t="b">
        <v>1</v>
      </c>
      <c r="I64" s="57" t="b">
        <v>1</v>
      </c>
      <c r="J64" s="6"/>
      <c r="K64" s="13"/>
      <c r="L64" s="13"/>
    </row>
    <row r="65">
      <c r="A65" s="56">
        <v>45800.0</v>
      </c>
      <c r="B65" s="57" t="s">
        <v>101</v>
      </c>
      <c r="C65" s="58"/>
      <c r="D65" s="60"/>
      <c r="E65" s="60"/>
      <c r="F65" s="57">
        <v>1.0</v>
      </c>
      <c r="G65" s="57">
        <f t="shared" si="2"/>
        <v>1</v>
      </c>
      <c r="H65" s="57" t="b">
        <v>1</v>
      </c>
      <c r="I65" s="57" t="b">
        <v>1</v>
      </c>
      <c r="J65" s="6"/>
      <c r="K65" s="13"/>
      <c r="L65" s="13"/>
    </row>
    <row r="66">
      <c r="A66" s="56">
        <v>45800.0</v>
      </c>
      <c r="B66" s="57" t="s">
        <v>103</v>
      </c>
      <c r="C66" s="58"/>
      <c r="D66" s="60"/>
      <c r="E66" s="60"/>
      <c r="F66" s="57">
        <v>1.0</v>
      </c>
      <c r="G66" s="57">
        <f t="shared" si="2"/>
        <v>1</v>
      </c>
      <c r="H66" s="57" t="b">
        <v>1</v>
      </c>
      <c r="I66" s="57" t="b">
        <v>1</v>
      </c>
      <c r="J66" s="6"/>
      <c r="K66" s="13"/>
      <c r="L66" s="13"/>
    </row>
    <row r="67">
      <c r="A67" s="56">
        <v>45800.0</v>
      </c>
      <c r="B67" s="57" t="s">
        <v>22</v>
      </c>
      <c r="C67" s="58"/>
      <c r="D67" s="59">
        <v>1.0</v>
      </c>
      <c r="E67" s="60"/>
      <c r="F67" s="61"/>
      <c r="G67" s="57">
        <f t="shared" si="2"/>
        <v>1</v>
      </c>
      <c r="H67" s="57" t="b">
        <v>1</v>
      </c>
      <c r="I67" s="57" t="b">
        <v>1</v>
      </c>
      <c r="J67" s="6"/>
      <c r="K67" s="13"/>
      <c r="L67" s="13"/>
    </row>
    <row r="68">
      <c r="A68" s="56">
        <v>45800.0</v>
      </c>
      <c r="B68" s="57" t="s">
        <v>104</v>
      </c>
      <c r="C68" s="58"/>
      <c r="D68" s="60"/>
      <c r="E68" s="59">
        <v>1.0</v>
      </c>
      <c r="F68" s="61"/>
      <c r="G68" s="57">
        <f t="shared" si="2"/>
        <v>1</v>
      </c>
      <c r="H68" s="57" t="b">
        <v>1</v>
      </c>
      <c r="I68" s="57" t="b">
        <v>1</v>
      </c>
      <c r="J68" s="6"/>
      <c r="K68" s="13"/>
      <c r="L68" s="13"/>
    </row>
    <row r="69">
      <c r="A69" s="56">
        <v>45800.0</v>
      </c>
      <c r="B69" s="57" t="s">
        <v>106</v>
      </c>
      <c r="C69" s="58"/>
      <c r="D69" s="59">
        <v>3.0</v>
      </c>
      <c r="E69" s="60"/>
      <c r="F69" s="61"/>
      <c r="G69" s="57">
        <f t="shared" si="2"/>
        <v>3</v>
      </c>
      <c r="H69" s="57" t="b">
        <v>1</v>
      </c>
      <c r="I69" s="57" t="b">
        <v>1</v>
      </c>
      <c r="J69" s="6"/>
      <c r="K69" s="13"/>
      <c r="L69" s="13"/>
    </row>
    <row r="70">
      <c r="A70" s="56">
        <v>45800.0</v>
      </c>
      <c r="B70" s="57" t="s">
        <v>112</v>
      </c>
      <c r="C70" s="58"/>
      <c r="D70" s="60"/>
      <c r="E70" s="60"/>
      <c r="F70" s="57">
        <v>1.0</v>
      </c>
      <c r="G70" s="57">
        <f t="shared" si="2"/>
        <v>1</v>
      </c>
      <c r="H70" s="57" t="b">
        <v>1</v>
      </c>
      <c r="I70" s="57" t="b">
        <v>1</v>
      </c>
      <c r="J70" s="6"/>
      <c r="K70" s="13"/>
      <c r="L70" s="13"/>
    </row>
    <row r="71">
      <c r="A71" s="56">
        <v>45800.0</v>
      </c>
      <c r="B71" s="57" t="s">
        <v>116</v>
      </c>
      <c r="C71" s="71">
        <v>3.0</v>
      </c>
      <c r="D71" s="71">
        <v>18.0</v>
      </c>
      <c r="E71" s="60"/>
      <c r="F71" s="61"/>
      <c r="G71" s="57">
        <f t="shared" si="2"/>
        <v>24</v>
      </c>
      <c r="H71" s="57" t="b">
        <v>1</v>
      </c>
      <c r="I71" s="57" t="b">
        <v>1</v>
      </c>
      <c r="J71" s="6"/>
      <c r="K71" s="13"/>
      <c r="L71" s="13"/>
    </row>
    <row r="72">
      <c r="A72" s="56">
        <v>45800.0</v>
      </c>
      <c r="B72" s="57" t="s">
        <v>31</v>
      </c>
      <c r="C72" s="59">
        <v>1.0</v>
      </c>
      <c r="D72" s="60"/>
      <c r="E72" s="60"/>
      <c r="F72" s="61"/>
      <c r="G72" s="57">
        <f t="shared" si="2"/>
        <v>2</v>
      </c>
      <c r="H72" s="57" t="b">
        <v>1</v>
      </c>
      <c r="I72" s="57" t="b">
        <v>1</v>
      </c>
      <c r="J72" s="6"/>
      <c r="K72" s="13"/>
      <c r="L72" s="13"/>
    </row>
    <row r="73">
      <c r="A73" s="56">
        <v>45800.0</v>
      </c>
      <c r="B73" s="57" t="s">
        <v>119</v>
      </c>
      <c r="C73" s="58"/>
      <c r="D73" s="59">
        <v>1.0</v>
      </c>
      <c r="E73" s="60"/>
      <c r="F73" s="57">
        <v>1.0</v>
      </c>
      <c r="G73" s="57">
        <f t="shared" si="2"/>
        <v>2</v>
      </c>
      <c r="H73" s="57" t="b">
        <v>1</v>
      </c>
      <c r="I73" s="57" t="b">
        <v>1</v>
      </c>
      <c r="J73" s="6"/>
      <c r="K73" s="13"/>
      <c r="L73" s="13"/>
    </row>
    <row r="74">
      <c r="A74" s="56">
        <v>45800.0</v>
      </c>
      <c r="B74" s="57" t="s">
        <v>120</v>
      </c>
      <c r="C74" s="58"/>
      <c r="D74" s="60"/>
      <c r="E74" s="59">
        <v>1.0</v>
      </c>
      <c r="F74" s="61"/>
      <c r="G74" s="57">
        <f t="shared" si="2"/>
        <v>1</v>
      </c>
      <c r="H74" s="57" t="b">
        <v>1</v>
      </c>
      <c r="I74" s="57" t="b">
        <v>1</v>
      </c>
      <c r="J74" s="6"/>
      <c r="K74" s="13"/>
      <c r="L74" s="13"/>
    </row>
    <row r="75">
      <c r="A75" s="56">
        <v>45800.0</v>
      </c>
      <c r="B75" s="57" t="s">
        <v>123</v>
      </c>
      <c r="C75" s="58"/>
      <c r="D75" s="60"/>
      <c r="E75" s="60"/>
      <c r="F75" s="57">
        <v>1.0</v>
      </c>
      <c r="G75" s="57">
        <f t="shared" si="2"/>
        <v>1</v>
      </c>
      <c r="H75" s="57" t="b">
        <v>1</v>
      </c>
      <c r="I75" s="57" t="b">
        <v>1</v>
      </c>
      <c r="J75" s="6"/>
      <c r="K75" s="13"/>
      <c r="L75" s="13"/>
    </row>
    <row r="76">
      <c r="A76" s="56">
        <v>45800.0</v>
      </c>
      <c r="B76" s="57" t="s">
        <v>126</v>
      </c>
      <c r="C76" s="58"/>
      <c r="D76" s="60"/>
      <c r="E76" s="59">
        <v>1.0</v>
      </c>
      <c r="F76" s="61"/>
      <c r="G76" s="57">
        <f t="shared" si="2"/>
        <v>1</v>
      </c>
      <c r="H76" s="57" t="b">
        <v>1</v>
      </c>
      <c r="I76" s="57" t="b">
        <v>1</v>
      </c>
      <c r="J76" s="6"/>
      <c r="K76" s="13"/>
      <c r="L76" s="13"/>
    </row>
    <row r="77">
      <c r="A77" s="56">
        <v>45800.0</v>
      </c>
      <c r="B77" s="57" t="s">
        <v>30</v>
      </c>
      <c r="C77" s="58"/>
      <c r="D77" s="59">
        <v>1.0</v>
      </c>
      <c r="E77" s="60"/>
      <c r="F77" s="61"/>
      <c r="G77" s="57">
        <f t="shared" si="2"/>
        <v>1</v>
      </c>
      <c r="H77" s="57" t="b">
        <v>1</v>
      </c>
      <c r="I77" s="57" t="b">
        <v>1</v>
      </c>
      <c r="J77" s="6"/>
      <c r="K77" s="13"/>
      <c r="L77" s="13"/>
    </row>
    <row r="78">
      <c r="A78" s="56">
        <v>45800.0</v>
      </c>
      <c r="B78" s="57" t="s">
        <v>41</v>
      </c>
      <c r="C78" s="58"/>
      <c r="D78" s="60"/>
      <c r="E78" s="60"/>
      <c r="F78" s="57">
        <v>1.0</v>
      </c>
      <c r="G78" s="57">
        <f t="shared" si="2"/>
        <v>1</v>
      </c>
      <c r="H78" s="57" t="b">
        <v>1</v>
      </c>
      <c r="I78" s="57" t="b">
        <v>1</v>
      </c>
      <c r="J78" s="6"/>
      <c r="K78" s="13"/>
      <c r="L78" s="13"/>
    </row>
    <row r="79">
      <c r="A79" s="56">
        <v>45800.0</v>
      </c>
      <c r="B79" s="57" t="s">
        <v>42</v>
      </c>
      <c r="C79" s="58"/>
      <c r="D79" s="59">
        <v>1.0</v>
      </c>
      <c r="E79" s="60"/>
      <c r="F79" s="61"/>
      <c r="G79" s="57">
        <f t="shared" si="2"/>
        <v>1</v>
      </c>
      <c r="H79" s="57" t="b">
        <v>1</v>
      </c>
      <c r="I79" s="57" t="b">
        <v>1</v>
      </c>
      <c r="J79" s="6"/>
      <c r="K79" s="13"/>
      <c r="L79" s="13"/>
    </row>
    <row r="80">
      <c r="A80" s="56">
        <v>45800.0</v>
      </c>
      <c r="B80" s="57" t="s">
        <v>132</v>
      </c>
      <c r="C80" s="58"/>
      <c r="D80" s="59">
        <v>50.0</v>
      </c>
      <c r="E80" s="60"/>
      <c r="F80" s="61"/>
      <c r="G80" s="57">
        <f t="shared" si="2"/>
        <v>50</v>
      </c>
      <c r="H80" s="57" t="b">
        <v>1</v>
      </c>
      <c r="I80" s="57" t="b">
        <v>1</v>
      </c>
      <c r="J80" s="6"/>
      <c r="K80" s="13"/>
      <c r="L80" s="13"/>
    </row>
    <row r="81">
      <c r="A81" s="56">
        <v>45800.0</v>
      </c>
      <c r="B81" s="57" t="s">
        <v>134</v>
      </c>
      <c r="C81" s="59">
        <v>5.0</v>
      </c>
      <c r="D81" s="60"/>
      <c r="E81" s="60"/>
      <c r="F81" s="61"/>
      <c r="G81" s="57">
        <f t="shared" si="2"/>
        <v>10</v>
      </c>
      <c r="H81" s="57" t="b">
        <v>1</v>
      </c>
      <c r="I81" s="57" t="b">
        <v>1</v>
      </c>
      <c r="J81" s="6"/>
      <c r="K81" s="13"/>
      <c r="L81" s="13"/>
    </row>
    <row r="82">
      <c r="A82" s="56">
        <v>45800.0</v>
      </c>
      <c r="B82" s="57" t="s">
        <v>136</v>
      </c>
      <c r="C82" s="58"/>
      <c r="D82" s="59">
        <v>1.0</v>
      </c>
      <c r="E82" s="59">
        <v>1.0</v>
      </c>
      <c r="F82" s="57">
        <v>1.0</v>
      </c>
      <c r="G82" s="57">
        <f t="shared" si="2"/>
        <v>3</v>
      </c>
      <c r="H82" s="57" t="b">
        <v>1</v>
      </c>
      <c r="I82" s="57" t="b">
        <v>1</v>
      </c>
      <c r="J82" s="6"/>
      <c r="K82" s="13"/>
      <c r="L82" s="13"/>
    </row>
    <row r="83">
      <c r="A83" s="56">
        <v>45800.0</v>
      </c>
      <c r="B83" s="57" t="s">
        <v>138</v>
      </c>
      <c r="C83" s="58"/>
      <c r="D83" s="59">
        <v>1.0</v>
      </c>
      <c r="E83" s="60"/>
      <c r="F83" s="61"/>
      <c r="G83" s="57">
        <f t="shared" si="2"/>
        <v>1</v>
      </c>
      <c r="H83" s="57" t="b">
        <v>1</v>
      </c>
      <c r="I83" s="57" t="b">
        <v>1</v>
      </c>
      <c r="J83" s="6"/>
      <c r="K83" s="13"/>
      <c r="L83" s="13"/>
    </row>
    <row r="84">
      <c r="A84" s="56">
        <v>45800.0</v>
      </c>
      <c r="B84" s="57" t="s">
        <v>140</v>
      </c>
      <c r="C84" s="58"/>
      <c r="D84" s="59">
        <v>2.0</v>
      </c>
      <c r="E84" s="60"/>
      <c r="F84" s="61"/>
      <c r="G84" s="57">
        <f t="shared" si="2"/>
        <v>2</v>
      </c>
      <c r="H84" s="57" t="b">
        <v>1</v>
      </c>
      <c r="I84" s="57" t="b">
        <v>1</v>
      </c>
      <c r="J84" s="6"/>
      <c r="K84" s="13"/>
      <c r="L84" s="13"/>
    </row>
    <row r="85">
      <c r="A85" s="56">
        <v>45800.0</v>
      </c>
      <c r="B85" s="57" t="s">
        <v>62</v>
      </c>
      <c r="C85" s="58"/>
      <c r="D85" s="59">
        <v>1.0</v>
      </c>
      <c r="E85" s="60"/>
      <c r="F85" s="61"/>
      <c r="G85" s="57">
        <f t="shared" si="2"/>
        <v>1</v>
      </c>
      <c r="H85" s="57" t="b">
        <v>1</v>
      </c>
      <c r="I85" s="57" t="b">
        <v>1</v>
      </c>
      <c r="J85" s="6"/>
      <c r="K85" s="13"/>
      <c r="L85" s="13"/>
    </row>
    <row r="86">
      <c r="A86" s="56">
        <v>45800.0</v>
      </c>
      <c r="B86" s="57" t="s">
        <v>22</v>
      </c>
      <c r="C86" s="59">
        <v>1.0</v>
      </c>
      <c r="D86" s="60"/>
      <c r="E86" s="60"/>
      <c r="F86" s="61"/>
      <c r="G86" s="57">
        <f t="shared" si="2"/>
        <v>2</v>
      </c>
      <c r="H86" s="57" t="b">
        <v>1</v>
      </c>
      <c r="I86" s="57" t="b">
        <v>1</v>
      </c>
      <c r="J86" s="6"/>
      <c r="K86" s="13"/>
      <c r="L86" s="13"/>
    </row>
    <row r="87">
      <c r="A87" s="56">
        <v>45800.0</v>
      </c>
      <c r="B87" s="57" t="s">
        <v>149</v>
      </c>
      <c r="C87" s="58"/>
      <c r="D87" s="59">
        <v>1.0</v>
      </c>
      <c r="E87" s="60"/>
      <c r="F87" s="61"/>
      <c r="G87" s="57">
        <f t="shared" si="2"/>
        <v>1</v>
      </c>
      <c r="H87" s="57" t="b">
        <v>1</v>
      </c>
      <c r="I87" s="57" t="b">
        <v>1</v>
      </c>
      <c r="J87" s="6"/>
      <c r="K87" s="13"/>
      <c r="L87" s="13"/>
    </row>
    <row r="88">
      <c r="A88" s="56">
        <v>45800.0</v>
      </c>
      <c r="B88" s="57" t="s">
        <v>150</v>
      </c>
      <c r="C88" s="59">
        <v>1.0</v>
      </c>
      <c r="D88" s="60"/>
      <c r="E88" s="60"/>
      <c r="F88" s="61"/>
      <c r="G88" s="57">
        <f t="shared" si="2"/>
        <v>2</v>
      </c>
      <c r="H88" s="57" t="b">
        <v>1</v>
      </c>
      <c r="I88" s="57" t="b">
        <v>1</v>
      </c>
      <c r="J88" s="6"/>
      <c r="K88" s="13"/>
      <c r="L88" s="13"/>
    </row>
    <row r="89">
      <c r="A89" s="56">
        <v>45800.0</v>
      </c>
      <c r="B89" s="57" t="s">
        <v>152</v>
      </c>
      <c r="C89" s="59">
        <v>1.0</v>
      </c>
      <c r="D89" s="60"/>
      <c r="E89" s="60"/>
      <c r="F89" s="61"/>
      <c r="G89" s="57">
        <f t="shared" si="2"/>
        <v>2</v>
      </c>
      <c r="H89" s="57" t="b">
        <v>1</v>
      </c>
      <c r="I89" s="57" t="b">
        <v>1</v>
      </c>
      <c r="J89" s="6"/>
      <c r="K89" s="13"/>
      <c r="L89" s="13"/>
    </row>
    <row r="90">
      <c r="A90" s="56">
        <v>45800.0</v>
      </c>
      <c r="B90" s="57" t="s">
        <v>86</v>
      </c>
      <c r="C90" s="59">
        <v>1.0</v>
      </c>
      <c r="D90" s="60"/>
      <c r="E90" s="60"/>
      <c r="F90" s="61"/>
      <c r="G90" s="57">
        <f t="shared" si="2"/>
        <v>2</v>
      </c>
      <c r="H90" s="57" t="b">
        <v>1</v>
      </c>
      <c r="I90" s="57" t="b">
        <v>1</v>
      </c>
      <c r="J90" s="6"/>
      <c r="K90" s="13"/>
      <c r="L90" s="13"/>
    </row>
    <row r="91">
      <c r="A91" s="56">
        <v>45800.0</v>
      </c>
      <c r="B91" s="57" t="s">
        <v>154</v>
      </c>
      <c r="C91" s="59">
        <v>1.0</v>
      </c>
      <c r="D91" s="60"/>
      <c r="E91" s="60"/>
      <c r="F91" s="61"/>
      <c r="G91" s="57">
        <f t="shared" si="2"/>
        <v>2</v>
      </c>
      <c r="H91" s="57" t="b">
        <v>1</v>
      </c>
      <c r="I91" s="57" t="b">
        <v>1</v>
      </c>
      <c r="J91" s="6"/>
      <c r="K91" s="13"/>
      <c r="L91" s="13"/>
    </row>
    <row r="92">
      <c r="A92" s="56">
        <v>45800.0</v>
      </c>
      <c r="B92" s="57" t="s">
        <v>155</v>
      </c>
      <c r="C92" s="58"/>
      <c r="D92" s="59">
        <v>1.0</v>
      </c>
      <c r="E92" s="60"/>
      <c r="F92" s="61"/>
      <c r="G92" s="57">
        <f t="shared" si="2"/>
        <v>1</v>
      </c>
      <c r="H92" s="57" t="b">
        <v>1</v>
      </c>
      <c r="I92" s="57" t="b">
        <v>1</v>
      </c>
      <c r="J92" s="6"/>
      <c r="K92" s="13"/>
      <c r="L92" s="13"/>
    </row>
    <row r="93">
      <c r="A93" s="56">
        <v>45800.0</v>
      </c>
      <c r="B93" s="57" t="s">
        <v>38</v>
      </c>
      <c r="C93" s="58"/>
      <c r="D93" s="59">
        <v>1.0</v>
      </c>
      <c r="E93" s="60"/>
      <c r="F93" s="61"/>
      <c r="G93" s="57">
        <f t="shared" si="2"/>
        <v>1</v>
      </c>
      <c r="H93" s="57" t="b">
        <v>1</v>
      </c>
      <c r="I93" s="57" t="b">
        <v>1</v>
      </c>
      <c r="J93" s="6"/>
      <c r="K93" s="13"/>
      <c r="L93" s="13"/>
    </row>
    <row r="94">
      <c r="A94" s="56">
        <v>45800.0</v>
      </c>
      <c r="B94" s="57" t="s">
        <v>156</v>
      </c>
      <c r="C94" s="58"/>
      <c r="D94" s="59">
        <v>1.0</v>
      </c>
      <c r="E94" s="60"/>
      <c r="F94" s="61"/>
      <c r="G94" s="57">
        <f t="shared" si="2"/>
        <v>1</v>
      </c>
      <c r="H94" s="57" t="b">
        <v>1</v>
      </c>
      <c r="I94" s="57" t="b">
        <v>1</v>
      </c>
      <c r="J94" s="6"/>
      <c r="K94" s="13"/>
      <c r="L94" s="13"/>
    </row>
    <row r="95">
      <c r="A95" s="56">
        <v>45800.0</v>
      </c>
      <c r="B95" s="57" t="s">
        <v>157</v>
      </c>
      <c r="C95" s="58"/>
      <c r="D95" s="59">
        <v>1.0</v>
      </c>
      <c r="E95" s="60"/>
      <c r="F95" s="61"/>
      <c r="G95" s="57">
        <f t="shared" si="2"/>
        <v>1</v>
      </c>
      <c r="H95" s="57" t="b">
        <v>1</v>
      </c>
      <c r="I95" s="57" t="b">
        <v>1</v>
      </c>
      <c r="J95" s="6"/>
      <c r="K95" s="13"/>
      <c r="L95" s="13"/>
    </row>
    <row r="96">
      <c r="A96" s="56">
        <v>45800.0</v>
      </c>
      <c r="B96" s="57" t="s">
        <v>158</v>
      </c>
      <c r="C96" s="58"/>
      <c r="D96" s="59">
        <v>1.0</v>
      </c>
      <c r="E96" s="60"/>
      <c r="F96" s="61"/>
      <c r="G96" s="57">
        <f t="shared" si="2"/>
        <v>1</v>
      </c>
      <c r="H96" s="57" t="b">
        <v>1</v>
      </c>
      <c r="I96" s="57" t="b">
        <v>1</v>
      </c>
      <c r="J96" s="6"/>
      <c r="K96" s="13"/>
      <c r="L96" s="13"/>
    </row>
    <row r="97">
      <c r="A97" s="56">
        <v>45799.0</v>
      </c>
      <c r="B97" s="57" t="s">
        <v>159</v>
      </c>
      <c r="C97" s="71">
        <v>5.0</v>
      </c>
      <c r="D97" s="59">
        <v>5.0</v>
      </c>
      <c r="E97" s="59">
        <v>2.0</v>
      </c>
      <c r="F97" s="57">
        <v>4.0</v>
      </c>
      <c r="G97" s="57">
        <f t="shared" si="2"/>
        <v>21</v>
      </c>
      <c r="H97" s="57" t="b">
        <v>1</v>
      </c>
      <c r="I97" s="57" t="b">
        <v>1</v>
      </c>
      <c r="J97" s="6"/>
      <c r="K97" s="13"/>
      <c r="L97" s="13"/>
    </row>
    <row r="98">
      <c r="A98" s="56">
        <v>45799.0</v>
      </c>
      <c r="B98" s="57" t="s">
        <v>160</v>
      </c>
      <c r="C98" s="59">
        <v>3.0</v>
      </c>
      <c r="D98" s="60"/>
      <c r="E98" s="60"/>
      <c r="F98" s="57">
        <v>1.0</v>
      </c>
      <c r="G98" s="57">
        <f t="shared" si="2"/>
        <v>7</v>
      </c>
      <c r="H98" s="57" t="b">
        <v>1</v>
      </c>
      <c r="I98" s="57" t="b">
        <v>1</v>
      </c>
      <c r="J98" s="6"/>
      <c r="K98" s="13"/>
      <c r="L98" s="13"/>
    </row>
    <row r="99">
      <c r="A99" s="56">
        <v>45799.0</v>
      </c>
      <c r="B99" s="57" t="s">
        <v>161</v>
      </c>
      <c r="C99" s="58"/>
      <c r="D99" s="60"/>
      <c r="E99" s="60"/>
      <c r="F99" s="57">
        <v>4.0</v>
      </c>
      <c r="G99" s="57">
        <f t="shared" si="2"/>
        <v>4</v>
      </c>
      <c r="H99" s="57" t="b">
        <v>1</v>
      </c>
      <c r="I99" s="57" t="b">
        <v>1</v>
      </c>
      <c r="J99" s="6"/>
      <c r="K99" s="13"/>
      <c r="L99" s="13"/>
    </row>
    <row r="100">
      <c r="A100" s="56">
        <v>45799.0</v>
      </c>
      <c r="B100" s="57" t="s">
        <v>162</v>
      </c>
      <c r="C100" s="58"/>
      <c r="D100" s="60"/>
      <c r="E100" s="60"/>
      <c r="F100" s="57">
        <v>1.0</v>
      </c>
      <c r="G100" s="57">
        <f t="shared" si="2"/>
        <v>1</v>
      </c>
      <c r="H100" s="57" t="b">
        <v>1</v>
      </c>
      <c r="I100" s="57" t="b">
        <v>1</v>
      </c>
      <c r="J100" s="6"/>
      <c r="K100" s="13"/>
      <c r="L100" s="13"/>
    </row>
    <row r="101">
      <c r="A101" s="56">
        <v>45799.0</v>
      </c>
      <c r="B101" s="57" t="s">
        <v>22</v>
      </c>
      <c r="C101" s="58"/>
      <c r="D101" s="59">
        <v>5.0</v>
      </c>
      <c r="E101" s="59">
        <v>1.0</v>
      </c>
      <c r="F101" s="61"/>
      <c r="G101" s="57">
        <f t="shared" si="2"/>
        <v>6</v>
      </c>
      <c r="H101" s="57" t="b">
        <v>1</v>
      </c>
      <c r="I101" s="57" t="b">
        <v>1</v>
      </c>
      <c r="J101" s="6"/>
      <c r="K101" s="13"/>
      <c r="L101" s="13"/>
    </row>
    <row r="102">
      <c r="A102" s="56">
        <v>45799.0</v>
      </c>
      <c r="B102" s="57" t="s">
        <v>164</v>
      </c>
      <c r="C102" s="59">
        <v>4.0</v>
      </c>
      <c r="D102" s="60"/>
      <c r="E102" s="60"/>
      <c r="F102" s="61"/>
      <c r="G102" s="57">
        <f t="shared" si="2"/>
        <v>8</v>
      </c>
      <c r="H102" s="57" t="b">
        <v>1</v>
      </c>
      <c r="I102" s="57" t="b">
        <v>1</v>
      </c>
      <c r="J102" s="6"/>
      <c r="K102" s="13"/>
      <c r="L102" s="13"/>
    </row>
    <row r="103">
      <c r="A103" s="56">
        <v>45799.0</v>
      </c>
      <c r="B103" s="57" t="s">
        <v>165</v>
      </c>
      <c r="C103" s="59">
        <v>2.0</v>
      </c>
      <c r="D103" s="60"/>
      <c r="E103" s="60"/>
      <c r="F103" s="61"/>
      <c r="G103" s="57">
        <f t="shared" si="2"/>
        <v>4</v>
      </c>
      <c r="H103" s="57" t="b">
        <v>1</v>
      </c>
      <c r="I103" s="57" t="b">
        <v>1</v>
      </c>
      <c r="J103" s="6"/>
      <c r="K103" s="13"/>
      <c r="L103" s="13"/>
    </row>
    <row r="104">
      <c r="A104" s="56">
        <v>45799.0</v>
      </c>
      <c r="B104" s="57" t="s">
        <v>166</v>
      </c>
      <c r="C104" s="59">
        <v>2.0</v>
      </c>
      <c r="D104" s="60"/>
      <c r="E104" s="60"/>
      <c r="F104" s="57">
        <v>1.0</v>
      </c>
      <c r="G104" s="57">
        <f t="shared" si="2"/>
        <v>5</v>
      </c>
      <c r="H104" s="57" t="b">
        <v>1</v>
      </c>
      <c r="I104" s="57" t="b">
        <v>1</v>
      </c>
      <c r="J104" s="6"/>
      <c r="K104" s="13"/>
      <c r="L104" s="13"/>
    </row>
    <row r="105">
      <c r="A105" s="56">
        <v>45799.0</v>
      </c>
      <c r="B105" s="57" t="s">
        <v>167</v>
      </c>
      <c r="C105" s="58"/>
      <c r="D105" s="59">
        <v>3.0</v>
      </c>
      <c r="E105" s="60"/>
      <c r="F105" s="57">
        <v>2.0</v>
      </c>
      <c r="G105" s="57">
        <f t="shared" si="2"/>
        <v>5</v>
      </c>
      <c r="H105" s="57" t="b">
        <v>1</v>
      </c>
      <c r="I105" s="57" t="b">
        <v>1</v>
      </c>
      <c r="J105" s="6"/>
      <c r="K105" s="13"/>
      <c r="L105" s="13"/>
    </row>
    <row r="106">
      <c r="A106" s="56">
        <v>45799.0</v>
      </c>
      <c r="B106" s="57" t="s">
        <v>169</v>
      </c>
      <c r="C106" s="58"/>
      <c r="D106" s="59">
        <v>3.0</v>
      </c>
      <c r="E106" s="60"/>
      <c r="F106" s="61"/>
      <c r="G106" s="57">
        <f t="shared" si="2"/>
        <v>3</v>
      </c>
      <c r="H106" s="57" t="b">
        <v>1</v>
      </c>
      <c r="I106" s="57" t="b">
        <v>1</v>
      </c>
      <c r="J106" s="6"/>
      <c r="K106" s="13"/>
      <c r="L106" s="13"/>
    </row>
    <row r="107">
      <c r="A107" s="56">
        <v>45799.0</v>
      </c>
      <c r="B107" s="57" t="s">
        <v>171</v>
      </c>
      <c r="C107" s="58"/>
      <c r="D107" s="59">
        <v>10.0</v>
      </c>
      <c r="E107" s="60"/>
      <c r="F107" s="57">
        <v>20.0</v>
      </c>
      <c r="G107" s="57">
        <f t="shared" si="2"/>
        <v>30</v>
      </c>
      <c r="H107" s="57" t="b">
        <v>1</v>
      </c>
      <c r="I107" s="57" t="b">
        <v>1</v>
      </c>
      <c r="J107" s="6"/>
      <c r="K107" s="13"/>
      <c r="L107" s="13"/>
    </row>
    <row r="108">
      <c r="A108" s="56">
        <v>45799.0</v>
      </c>
      <c r="B108" s="57" t="s">
        <v>174</v>
      </c>
      <c r="C108" s="59">
        <v>1.0</v>
      </c>
      <c r="D108" s="60"/>
      <c r="E108" s="60"/>
      <c r="F108" s="57">
        <v>1.0</v>
      </c>
      <c r="G108" s="57">
        <f t="shared" si="2"/>
        <v>3</v>
      </c>
      <c r="H108" s="57" t="b">
        <v>1</v>
      </c>
      <c r="I108" s="57" t="b">
        <v>1</v>
      </c>
      <c r="J108" s="6"/>
      <c r="K108" s="13"/>
      <c r="L108" s="13"/>
    </row>
    <row r="109">
      <c r="A109" s="56">
        <v>45799.0</v>
      </c>
      <c r="B109" s="57" t="s">
        <v>176</v>
      </c>
      <c r="C109" s="58"/>
      <c r="D109" s="60"/>
      <c r="E109" s="60"/>
      <c r="F109" s="57">
        <v>1.0</v>
      </c>
      <c r="G109" s="57">
        <f t="shared" si="2"/>
        <v>1</v>
      </c>
      <c r="H109" s="57" t="b">
        <v>1</v>
      </c>
      <c r="I109" s="57" t="b">
        <v>1</v>
      </c>
      <c r="J109" s="6"/>
      <c r="K109" s="13"/>
      <c r="L109" s="13"/>
    </row>
    <row r="110">
      <c r="A110" s="56">
        <v>45799.0</v>
      </c>
      <c r="B110" s="57" t="s">
        <v>178</v>
      </c>
      <c r="C110" s="58"/>
      <c r="D110" s="59">
        <v>1.0</v>
      </c>
      <c r="E110" s="60"/>
      <c r="F110" s="61"/>
      <c r="G110" s="57">
        <f t="shared" si="2"/>
        <v>1</v>
      </c>
      <c r="H110" s="57" t="b">
        <v>1</v>
      </c>
      <c r="I110" s="57" t="b">
        <v>1</v>
      </c>
      <c r="J110" s="6"/>
      <c r="K110" s="13"/>
      <c r="L110" s="13"/>
    </row>
    <row r="111">
      <c r="A111" s="56">
        <v>45799.0</v>
      </c>
      <c r="B111" s="57" t="s">
        <v>62</v>
      </c>
      <c r="C111" s="59">
        <v>1.0</v>
      </c>
      <c r="D111" s="60"/>
      <c r="E111" s="60"/>
      <c r="F111" s="61"/>
      <c r="G111" s="57">
        <f t="shared" si="2"/>
        <v>2</v>
      </c>
      <c r="H111" s="57" t="b">
        <v>1</v>
      </c>
      <c r="I111" s="57" t="b">
        <v>1</v>
      </c>
      <c r="J111" s="6"/>
      <c r="K111" s="13"/>
      <c r="L111" s="13"/>
    </row>
    <row r="112">
      <c r="A112" s="56">
        <v>45799.0</v>
      </c>
      <c r="B112" s="57" t="s">
        <v>181</v>
      </c>
      <c r="C112" s="59">
        <v>1.0</v>
      </c>
      <c r="D112" s="60"/>
      <c r="E112" s="60"/>
      <c r="F112" s="61"/>
      <c r="G112" s="57">
        <f t="shared" si="2"/>
        <v>2</v>
      </c>
      <c r="H112" s="57" t="b">
        <v>1</v>
      </c>
      <c r="I112" s="57" t="b">
        <v>1</v>
      </c>
      <c r="J112" s="6"/>
      <c r="K112" s="13"/>
      <c r="L112" s="13"/>
    </row>
    <row r="113">
      <c r="A113" s="56">
        <v>45799.0</v>
      </c>
      <c r="B113" s="57" t="s">
        <v>165</v>
      </c>
      <c r="C113" s="58"/>
      <c r="D113" s="60"/>
      <c r="E113" s="60"/>
      <c r="F113" s="57">
        <v>1.0</v>
      </c>
      <c r="G113" s="57">
        <f t="shared" si="2"/>
        <v>1</v>
      </c>
      <c r="H113" s="57" t="b">
        <v>1</v>
      </c>
      <c r="I113" s="57" t="b">
        <v>1</v>
      </c>
      <c r="J113" s="6"/>
      <c r="K113" s="13"/>
      <c r="L113" s="13"/>
    </row>
    <row r="114">
      <c r="A114" s="56">
        <v>45799.0</v>
      </c>
      <c r="B114" s="57" t="s">
        <v>30</v>
      </c>
      <c r="C114" s="59">
        <v>1.0</v>
      </c>
      <c r="D114" s="60"/>
      <c r="E114" s="60"/>
      <c r="F114" s="61"/>
      <c r="G114" s="57">
        <f t="shared" si="2"/>
        <v>2</v>
      </c>
      <c r="H114" s="57" t="b">
        <v>1</v>
      </c>
      <c r="I114" s="57" t="b">
        <v>1</v>
      </c>
      <c r="J114" s="6"/>
      <c r="K114" s="13"/>
      <c r="L114" s="13"/>
    </row>
    <row r="115">
      <c r="A115" s="56">
        <v>45799.0</v>
      </c>
      <c r="B115" s="57" t="s">
        <v>38</v>
      </c>
      <c r="C115" s="58"/>
      <c r="D115" s="59">
        <v>2.0</v>
      </c>
      <c r="E115" s="59">
        <v>1.0</v>
      </c>
      <c r="F115" s="61"/>
      <c r="G115" s="57">
        <f t="shared" si="2"/>
        <v>3</v>
      </c>
      <c r="H115" s="57" t="b">
        <v>1</v>
      </c>
      <c r="I115" s="57" t="b">
        <v>1</v>
      </c>
      <c r="J115" s="6"/>
      <c r="K115" s="13"/>
      <c r="L115" s="13"/>
    </row>
    <row r="116">
      <c r="A116" s="56">
        <v>45799.0</v>
      </c>
      <c r="B116" s="57" t="s">
        <v>186</v>
      </c>
      <c r="C116" s="58"/>
      <c r="D116" s="59">
        <v>10.0</v>
      </c>
      <c r="E116" s="60"/>
      <c r="F116" s="61"/>
      <c r="G116" s="57">
        <f t="shared" si="2"/>
        <v>10</v>
      </c>
      <c r="H116" s="57" t="b">
        <v>1</v>
      </c>
      <c r="I116" s="57" t="b">
        <v>1</v>
      </c>
      <c r="J116" s="6"/>
      <c r="K116" s="13"/>
      <c r="L116" s="13"/>
    </row>
    <row r="117">
      <c r="A117" s="56">
        <v>45799.0</v>
      </c>
      <c r="B117" s="57" t="s">
        <v>187</v>
      </c>
      <c r="C117" s="58"/>
      <c r="D117" s="60"/>
      <c r="E117" s="59">
        <v>2.0</v>
      </c>
      <c r="F117" s="61"/>
      <c r="G117" s="57">
        <f t="shared" si="2"/>
        <v>2</v>
      </c>
      <c r="H117" s="57" t="b">
        <v>1</v>
      </c>
      <c r="I117" s="57" t="b">
        <v>1</v>
      </c>
      <c r="J117" s="6"/>
      <c r="K117" s="13"/>
      <c r="L117" s="13"/>
    </row>
    <row r="118">
      <c r="A118" s="56">
        <v>45799.0</v>
      </c>
      <c r="B118" s="57" t="s">
        <v>188</v>
      </c>
      <c r="C118" s="59">
        <v>1.0</v>
      </c>
      <c r="D118" s="60"/>
      <c r="E118" s="60"/>
      <c r="F118" s="57">
        <v>1.0</v>
      </c>
      <c r="G118" s="57">
        <f t="shared" si="2"/>
        <v>3</v>
      </c>
      <c r="H118" s="57" t="b">
        <v>1</v>
      </c>
      <c r="I118" s="57" t="b">
        <v>1</v>
      </c>
      <c r="J118" s="6"/>
      <c r="K118" s="13"/>
      <c r="L118" s="13"/>
    </row>
    <row r="119">
      <c r="A119" s="56">
        <v>45799.0</v>
      </c>
      <c r="B119" s="57" t="s">
        <v>190</v>
      </c>
      <c r="C119" s="59">
        <v>1.0</v>
      </c>
      <c r="D119" s="60"/>
      <c r="E119" s="60"/>
      <c r="F119" s="61"/>
      <c r="G119" s="57">
        <f t="shared" si="2"/>
        <v>2</v>
      </c>
      <c r="H119" s="57" t="b">
        <v>1</v>
      </c>
      <c r="I119" s="57" t="b">
        <v>1</v>
      </c>
      <c r="J119" s="6"/>
      <c r="K119" s="13"/>
      <c r="L119" s="13"/>
    </row>
    <row r="120">
      <c r="A120" s="56">
        <v>45799.0</v>
      </c>
      <c r="B120" s="57" t="s">
        <v>191</v>
      </c>
      <c r="C120" s="59">
        <v>1.0</v>
      </c>
      <c r="D120" s="60"/>
      <c r="E120" s="60"/>
      <c r="F120" s="61"/>
      <c r="G120" s="57">
        <f t="shared" si="2"/>
        <v>2</v>
      </c>
      <c r="H120" s="57" t="b">
        <v>1</v>
      </c>
      <c r="I120" s="57" t="b">
        <v>1</v>
      </c>
      <c r="J120" s="6"/>
      <c r="K120" s="13"/>
      <c r="L120" s="13"/>
    </row>
    <row r="121">
      <c r="A121" s="56">
        <v>45799.0</v>
      </c>
      <c r="B121" s="57" t="s">
        <v>192</v>
      </c>
      <c r="C121" s="58"/>
      <c r="D121" s="59">
        <v>5.0</v>
      </c>
      <c r="E121" s="59">
        <v>1.0</v>
      </c>
      <c r="F121" s="61"/>
      <c r="G121" s="57">
        <f t="shared" si="2"/>
        <v>6</v>
      </c>
      <c r="H121" s="57" t="b">
        <v>1</v>
      </c>
      <c r="I121" s="57" t="b">
        <v>1</v>
      </c>
      <c r="J121" s="6"/>
      <c r="K121" s="13"/>
      <c r="L121" s="13"/>
    </row>
    <row r="122">
      <c r="A122" s="56">
        <v>45799.0</v>
      </c>
      <c r="B122" s="57" t="s">
        <v>193</v>
      </c>
      <c r="C122" s="59">
        <v>1.0</v>
      </c>
      <c r="D122" s="60"/>
      <c r="E122" s="60"/>
      <c r="F122" s="61"/>
      <c r="G122" s="57">
        <f t="shared" si="2"/>
        <v>2</v>
      </c>
      <c r="H122" s="57" t="b">
        <v>1</v>
      </c>
      <c r="I122" s="57" t="b">
        <v>1</v>
      </c>
      <c r="J122" s="6"/>
      <c r="K122" s="13"/>
      <c r="L122" s="13"/>
    </row>
    <row r="123">
      <c r="A123" s="56">
        <v>45799.0</v>
      </c>
      <c r="B123" s="57" t="s">
        <v>25</v>
      </c>
      <c r="C123" s="58"/>
      <c r="D123" s="60"/>
      <c r="E123" s="60"/>
      <c r="F123" s="57">
        <v>1.0</v>
      </c>
      <c r="G123" s="57">
        <f t="shared" si="2"/>
        <v>1</v>
      </c>
      <c r="H123" s="57" t="b">
        <v>1</v>
      </c>
      <c r="I123" s="57" t="b">
        <v>1</v>
      </c>
      <c r="J123" s="6"/>
      <c r="K123" s="13"/>
      <c r="L123" s="13"/>
    </row>
    <row r="124">
      <c r="A124" s="56">
        <v>45799.0</v>
      </c>
      <c r="B124" s="57" t="s">
        <v>32</v>
      </c>
      <c r="C124" s="58"/>
      <c r="D124" s="59">
        <v>1.0</v>
      </c>
      <c r="E124" s="60"/>
      <c r="F124" s="61"/>
      <c r="G124" s="57">
        <f t="shared" si="2"/>
        <v>1</v>
      </c>
      <c r="H124" s="57" t="b">
        <v>1</v>
      </c>
      <c r="I124" s="57" t="b">
        <v>1</v>
      </c>
      <c r="J124" s="6"/>
      <c r="K124" s="13"/>
      <c r="L124" s="13"/>
    </row>
    <row r="125">
      <c r="A125" s="56">
        <v>45799.0</v>
      </c>
      <c r="B125" s="57" t="s">
        <v>196</v>
      </c>
      <c r="C125" s="58"/>
      <c r="D125" s="60"/>
      <c r="E125" s="59">
        <v>1.0</v>
      </c>
      <c r="F125" s="61"/>
      <c r="G125" s="57">
        <f t="shared" si="2"/>
        <v>1</v>
      </c>
      <c r="H125" s="57" t="b">
        <v>1</v>
      </c>
      <c r="I125" s="57" t="b">
        <v>1</v>
      </c>
      <c r="J125" s="6"/>
      <c r="K125" s="13"/>
      <c r="L125" s="13"/>
    </row>
    <row r="126">
      <c r="A126" s="56">
        <v>45799.0</v>
      </c>
      <c r="B126" s="57" t="s">
        <v>199</v>
      </c>
      <c r="C126" s="59">
        <v>1.0</v>
      </c>
      <c r="D126" s="60"/>
      <c r="E126" s="60"/>
      <c r="F126" s="61"/>
      <c r="G126" s="57">
        <f t="shared" si="2"/>
        <v>2</v>
      </c>
      <c r="H126" s="57" t="b">
        <v>1</v>
      </c>
      <c r="I126" s="57" t="b">
        <v>1</v>
      </c>
      <c r="J126" s="6"/>
      <c r="K126" s="13"/>
      <c r="L126" s="13"/>
    </row>
    <row r="127">
      <c r="A127" s="56">
        <v>45799.0</v>
      </c>
      <c r="B127" s="57" t="s">
        <v>200</v>
      </c>
      <c r="C127" s="58"/>
      <c r="D127" s="60"/>
      <c r="E127" s="60"/>
      <c r="F127" s="57">
        <v>1.0</v>
      </c>
      <c r="G127" s="57">
        <f t="shared" si="2"/>
        <v>1</v>
      </c>
      <c r="H127" s="57" t="b">
        <v>1</v>
      </c>
      <c r="I127" s="57" t="b">
        <v>1</v>
      </c>
      <c r="J127" s="6"/>
      <c r="K127" s="13"/>
      <c r="L127" s="13"/>
    </row>
    <row r="128">
      <c r="A128" s="56">
        <v>45799.0</v>
      </c>
      <c r="B128" s="57" t="s">
        <v>201</v>
      </c>
      <c r="C128" s="58"/>
      <c r="D128" s="60"/>
      <c r="E128" s="59">
        <v>1.0</v>
      </c>
      <c r="F128" s="61"/>
      <c r="G128" s="57">
        <f t="shared" si="2"/>
        <v>1</v>
      </c>
      <c r="H128" s="57" t="b">
        <v>1</v>
      </c>
      <c r="I128" s="57" t="b">
        <v>1</v>
      </c>
      <c r="J128" s="6"/>
      <c r="K128" s="13"/>
      <c r="L128" s="13"/>
    </row>
    <row r="129">
      <c r="A129" s="56">
        <v>45799.0</v>
      </c>
      <c r="B129" s="57" t="s">
        <v>202</v>
      </c>
      <c r="C129" s="58"/>
      <c r="D129" s="59">
        <v>1.0</v>
      </c>
      <c r="E129" s="60"/>
      <c r="F129" s="61"/>
      <c r="G129" s="57">
        <f t="shared" si="2"/>
        <v>1</v>
      </c>
      <c r="H129" s="57" t="b">
        <v>1</v>
      </c>
      <c r="I129" s="57" t="b">
        <v>1</v>
      </c>
      <c r="J129" s="6"/>
      <c r="K129" s="13"/>
      <c r="L129" s="13"/>
    </row>
    <row r="130">
      <c r="A130" s="56">
        <v>45799.0</v>
      </c>
      <c r="B130" s="57" t="s">
        <v>203</v>
      </c>
      <c r="C130" s="59">
        <v>2.0</v>
      </c>
      <c r="D130" s="59">
        <v>1.0</v>
      </c>
      <c r="E130" s="60"/>
      <c r="F130" s="57">
        <v>1.0</v>
      </c>
      <c r="G130" s="57">
        <f t="shared" si="2"/>
        <v>6</v>
      </c>
      <c r="H130" s="57" t="b">
        <v>1</v>
      </c>
      <c r="I130" s="57" t="b">
        <v>1</v>
      </c>
      <c r="J130" s="6"/>
      <c r="K130" s="13"/>
      <c r="L130" s="13"/>
    </row>
    <row r="131">
      <c r="A131" s="56">
        <v>45799.0</v>
      </c>
      <c r="B131" s="57" t="s">
        <v>193</v>
      </c>
      <c r="C131" s="58"/>
      <c r="D131" s="59">
        <v>3.0</v>
      </c>
      <c r="E131" s="60"/>
      <c r="F131" s="61"/>
      <c r="G131" s="57">
        <f t="shared" si="2"/>
        <v>3</v>
      </c>
      <c r="H131" s="57" t="b">
        <v>1</v>
      </c>
      <c r="I131" s="57" t="b">
        <v>1</v>
      </c>
      <c r="J131" s="6"/>
      <c r="K131" s="13"/>
      <c r="L131" s="13"/>
    </row>
    <row r="132">
      <c r="A132" s="56">
        <v>45799.0</v>
      </c>
      <c r="B132" s="57" t="s">
        <v>204</v>
      </c>
      <c r="C132" s="58"/>
      <c r="D132" s="59">
        <v>3.0</v>
      </c>
      <c r="E132" s="60"/>
      <c r="F132" s="61"/>
      <c r="G132" s="57">
        <f t="shared" si="2"/>
        <v>3</v>
      </c>
      <c r="H132" s="57" t="b">
        <v>1</v>
      </c>
      <c r="I132" s="57" t="b">
        <v>1</v>
      </c>
      <c r="J132" s="6"/>
      <c r="K132" s="13"/>
      <c r="L132" s="13"/>
    </row>
    <row r="133">
      <c r="A133" s="56">
        <v>45799.0</v>
      </c>
      <c r="B133" s="57" t="s">
        <v>161</v>
      </c>
      <c r="C133" s="59">
        <v>1.0</v>
      </c>
      <c r="D133" s="60"/>
      <c r="E133" s="60"/>
      <c r="F133" s="57">
        <v>1.0</v>
      </c>
      <c r="G133" s="57">
        <f t="shared" si="2"/>
        <v>3</v>
      </c>
      <c r="H133" s="57" t="b">
        <v>1</v>
      </c>
      <c r="I133" s="57" t="b">
        <v>1</v>
      </c>
      <c r="J133" s="6"/>
      <c r="K133" s="13"/>
      <c r="L133" s="13"/>
    </row>
    <row r="134">
      <c r="A134" s="56">
        <v>45799.0</v>
      </c>
      <c r="B134" s="57" t="s">
        <v>205</v>
      </c>
      <c r="C134" s="58"/>
      <c r="D134" s="60"/>
      <c r="E134" s="59">
        <v>1.0</v>
      </c>
      <c r="F134" s="61"/>
      <c r="G134" s="57">
        <f t="shared" si="2"/>
        <v>1</v>
      </c>
      <c r="H134" s="57" t="b">
        <v>1</v>
      </c>
      <c r="I134" s="57" t="b">
        <v>1</v>
      </c>
      <c r="J134" s="6"/>
      <c r="K134" s="13"/>
      <c r="L134" s="13"/>
    </row>
    <row r="135">
      <c r="A135" s="56">
        <v>45799.0</v>
      </c>
      <c r="B135" s="57" t="s">
        <v>206</v>
      </c>
      <c r="C135" s="59">
        <v>1.0</v>
      </c>
      <c r="D135" s="60"/>
      <c r="E135" s="60"/>
      <c r="F135" s="61"/>
      <c r="G135" s="57">
        <f t="shared" si="2"/>
        <v>2</v>
      </c>
      <c r="H135" s="57" t="b">
        <v>1</v>
      </c>
      <c r="I135" s="57" t="b">
        <v>1</v>
      </c>
      <c r="J135" s="6"/>
      <c r="K135" s="13"/>
      <c r="L135" s="13"/>
    </row>
    <row r="136">
      <c r="A136" s="56">
        <v>45799.0</v>
      </c>
      <c r="B136" s="57" t="s">
        <v>208</v>
      </c>
      <c r="C136" s="59">
        <v>2.0</v>
      </c>
      <c r="D136" s="60"/>
      <c r="E136" s="60"/>
      <c r="F136" s="61"/>
      <c r="G136" s="57">
        <f t="shared" si="2"/>
        <v>4</v>
      </c>
      <c r="H136" s="57" t="b">
        <v>1</v>
      </c>
      <c r="I136" s="57" t="b">
        <v>1</v>
      </c>
      <c r="J136" s="6"/>
      <c r="K136" s="13"/>
      <c r="L136" s="13"/>
    </row>
    <row r="137">
      <c r="A137" s="56">
        <v>45799.0</v>
      </c>
      <c r="B137" s="57" t="s">
        <v>210</v>
      </c>
      <c r="C137" s="58"/>
      <c r="D137" s="59">
        <v>1.0</v>
      </c>
      <c r="E137" s="60"/>
      <c r="F137" s="57">
        <v>1.0</v>
      </c>
      <c r="G137" s="57">
        <f t="shared" si="2"/>
        <v>2</v>
      </c>
      <c r="H137" s="57" t="b">
        <v>1</v>
      </c>
      <c r="I137" s="57" t="b">
        <v>1</v>
      </c>
      <c r="J137" s="6"/>
      <c r="K137" s="13"/>
      <c r="L137" s="13"/>
    </row>
    <row r="138">
      <c r="A138" s="56">
        <v>45799.0</v>
      </c>
      <c r="B138" s="57" t="s">
        <v>33</v>
      </c>
      <c r="C138" s="59">
        <v>1.0</v>
      </c>
      <c r="D138" s="60"/>
      <c r="E138" s="60"/>
      <c r="F138" s="61"/>
      <c r="G138" s="57">
        <f t="shared" si="2"/>
        <v>2</v>
      </c>
      <c r="H138" s="57" t="b">
        <v>1</v>
      </c>
      <c r="I138" s="57" t="b">
        <v>1</v>
      </c>
      <c r="J138" s="6"/>
      <c r="K138" s="13"/>
      <c r="L138" s="13"/>
    </row>
    <row r="139">
      <c r="A139" s="56">
        <v>45799.0</v>
      </c>
      <c r="B139" s="57" t="s">
        <v>214</v>
      </c>
      <c r="C139" s="58"/>
      <c r="D139" s="60"/>
      <c r="E139" s="60"/>
      <c r="F139" s="57">
        <v>1.0</v>
      </c>
      <c r="G139" s="57">
        <f t="shared" si="2"/>
        <v>1</v>
      </c>
      <c r="H139" s="57" t="b">
        <v>1</v>
      </c>
      <c r="I139" s="57" t="b">
        <v>1</v>
      </c>
      <c r="J139" s="6"/>
      <c r="K139" s="13"/>
      <c r="L139" s="13"/>
    </row>
    <row r="140">
      <c r="A140" s="56">
        <v>45799.0</v>
      </c>
      <c r="B140" s="57" t="s">
        <v>37</v>
      </c>
      <c r="C140" s="58"/>
      <c r="D140" s="60"/>
      <c r="E140" s="60"/>
      <c r="F140" s="57">
        <v>1.0</v>
      </c>
      <c r="G140" s="57">
        <f t="shared" si="2"/>
        <v>1</v>
      </c>
      <c r="H140" s="57" t="b">
        <v>1</v>
      </c>
      <c r="I140" s="57" t="b">
        <v>1</v>
      </c>
      <c r="J140" s="6"/>
      <c r="K140" s="13"/>
      <c r="L140" s="13"/>
    </row>
    <row r="141">
      <c r="A141" s="56">
        <v>45799.0</v>
      </c>
      <c r="B141" s="57" t="s">
        <v>218</v>
      </c>
      <c r="C141" s="59">
        <v>1.0</v>
      </c>
      <c r="D141" s="60"/>
      <c r="E141" s="60"/>
      <c r="F141" s="61"/>
      <c r="G141" s="57">
        <f t="shared" si="2"/>
        <v>2</v>
      </c>
      <c r="H141" s="57" t="b">
        <v>1</v>
      </c>
      <c r="I141" s="57" t="b">
        <v>1</v>
      </c>
      <c r="J141" s="6"/>
      <c r="K141" s="13"/>
      <c r="L141" s="13"/>
    </row>
    <row r="142">
      <c r="A142" s="56">
        <v>45799.0</v>
      </c>
      <c r="B142" s="57" t="s">
        <v>126</v>
      </c>
      <c r="C142" s="58"/>
      <c r="D142" s="59">
        <v>1.0</v>
      </c>
      <c r="E142" s="60"/>
      <c r="F142" s="61"/>
      <c r="G142" s="57">
        <f t="shared" si="2"/>
        <v>1</v>
      </c>
      <c r="H142" s="57" t="b">
        <v>1</v>
      </c>
      <c r="I142" s="57" t="b">
        <v>1</v>
      </c>
      <c r="J142" s="6"/>
      <c r="K142" s="13"/>
      <c r="L142" s="13"/>
    </row>
    <row r="143">
      <c r="A143" s="56">
        <v>45799.0</v>
      </c>
      <c r="B143" s="57" t="s">
        <v>221</v>
      </c>
      <c r="C143" s="59">
        <v>1.0</v>
      </c>
      <c r="D143" s="60"/>
      <c r="E143" s="60"/>
      <c r="F143" s="57">
        <v>1.0</v>
      </c>
      <c r="G143" s="57">
        <f t="shared" si="2"/>
        <v>3</v>
      </c>
      <c r="H143" s="57" t="b">
        <v>1</v>
      </c>
      <c r="I143" s="57" t="b">
        <v>1</v>
      </c>
      <c r="J143" s="6"/>
      <c r="K143" s="13"/>
      <c r="L143" s="13"/>
    </row>
    <row r="144">
      <c r="A144" s="56">
        <v>45799.0</v>
      </c>
      <c r="B144" s="57" t="s">
        <v>222</v>
      </c>
      <c r="C144" s="58"/>
      <c r="D144" s="59">
        <v>1.0</v>
      </c>
      <c r="E144" s="60"/>
      <c r="F144" s="61"/>
      <c r="G144" s="57">
        <f t="shared" si="2"/>
        <v>1</v>
      </c>
      <c r="H144" s="57" t="b">
        <v>1</v>
      </c>
      <c r="I144" s="57" t="b">
        <v>1</v>
      </c>
      <c r="J144" s="6"/>
      <c r="K144" s="13"/>
      <c r="L144" s="13"/>
    </row>
    <row r="145">
      <c r="A145" s="56">
        <v>45799.0</v>
      </c>
      <c r="B145" s="57" t="s">
        <v>223</v>
      </c>
      <c r="C145" s="59">
        <v>1.0</v>
      </c>
      <c r="D145" s="60"/>
      <c r="E145" s="60"/>
      <c r="F145" s="61"/>
      <c r="G145" s="57">
        <f t="shared" si="2"/>
        <v>2</v>
      </c>
      <c r="H145" s="57" t="b">
        <v>1</v>
      </c>
      <c r="I145" s="57" t="b">
        <v>1</v>
      </c>
      <c r="J145" s="6"/>
      <c r="K145" s="13"/>
      <c r="L145" s="13"/>
    </row>
    <row r="146">
      <c r="A146" s="56">
        <v>45799.0</v>
      </c>
      <c r="B146" s="57" t="s">
        <v>227</v>
      </c>
      <c r="C146" s="58"/>
      <c r="D146" s="59">
        <v>1.0</v>
      </c>
      <c r="E146" s="60"/>
      <c r="F146" s="61"/>
      <c r="G146" s="57">
        <f t="shared" si="2"/>
        <v>1</v>
      </c>
      <c r="H146" s="57" t="b">
        <v>1</v>
      </c>
      <c r="I146" s="57" t="b">
        <v>1</v>
      </c>
      <c r="J146" s="6"/>
      <c r="K146" s="13"/>
      <c r="L146" s="13"/>
    </row>
    <row r="147">
      <c r="A147" s="56">
        <v>45799.0</v>
      </c>
      <c r="B147" s="57" t="s">
        <v>228</v>
      </c>
      <c r="C147" s="58"/>
      <c r="D147" s="60"/>
      <c r="E147" s="60"/>
      <c r="F147" s="57">
        <v>1.0</v>
      </c>
      <c r="G147" s="57">
        <f t="shared" si="2"/>
        <v>1</v>
      </c>
      <c r="H147" s="57" t="b">
        <v>1</v>
      </c>
      <c r="I147" s="57" t="b">
        <v>1</v>
      </c>
      <c r="J147" s="6"/>
      <c r="K147" s="13"/>
      <c r="L147" s="13"/>
    </row>
    <row r="148">
      <c r="A148" s="56">
        <v>45799.0</v>
      </c>
      <c r="B148" s="57" t="s">
        <v>230</v>
      </c>
      <c r="C148" s="58"/>
      <c r="D148" s="59">
        <v>1.0</v>
      </c>
      <c r="E148" s="60"/>
      <c r="F148" s="61"/>
      <c r="G148" s="57">
        <f t="shared" si="2"/>
        <v>1</v>
      </c>
      <c r="H148" s="57" t="b">
        <v>1</v>
      </c>
      <c r="I148" s="57" t="b">
        <v>1</v>
      </c>
      <c r="J148" s="6"/>
      <c r="K148" s="13"/>
      <c r="L148" s="13"/>
    </row>
    <row r="149">
      <c r="A149" s="56">
        <v>45799.0</v>
      </c>
      <c r="B149" s="57" t="s">
        <v>104</v>
      </c>
      <c r="C149" s="58"/>
      <c r="D149" s="60"/>
      <c r="E149" s="60"/>
      <c r="F149" s="57">
        <v>1.0</v>
      </c>
      <c r="G149" s="57">
        <f t="shared" si="2"/>
        <v>1</v>
      </c>
      <c r="H149" s="57" t="b">
        <v>1</v>
      </c>
      <c r="I149" s="57" t="b">
        <v>1</v>
      </c>
      <c r="J149" s="6"/>
      <c r="K149" s="13"/>
      <c r="L149" s="13"/>
    </row>
    <row r="150">
      <c r="A150" s="56">
        <v>45799.0</v>
      </c>
      <c r="B150" s="57" t="s">
        <v>57</v>
      </c>
      <c r="C150" s="58"/>
      <c r="D150" s="59">
        <v>1.0</v>
      </c>
      <c r="E150" s="60"/>
      <c r="F150" s="57">
        <v>1.0</v>
      </c>
      <c r="G150" s="57">
        <f t="shared" si="2"/>
        <v>2</v>
      </c>
      <c r="H150" s="57" t="b">
        <v>1</v>
      </c>
      <c r="I150" s="57" t="b">
        <v>1</v>
      </c>
      <c r="J150" s="6"/>
      <c r="K150" s="13"/>
      <c r="L150" s="13"/>
    </row>
    <row r="151">
      <c r="A151" s="56">
        <v>45799.0</v>
      </c>
      <c r="B151" s="57" t="s">
        <v>235</v>
      </c>
      <c r="C151" s="58"/>
      <c r="D151" s="60"/>
      <c r="E151" s="59">
        <v>1.0</v>
      </c>
      <c r="F151" s="57">
        <v>1.0</v>
      </c>
      <c r="G151" s="57">
        <f t="shared" si="2"/>
        <v>2</v>
      </c>
      <c r="H151" s="57" t="b">
        <v>1</v>
      </c>
      <c r="I151" s="57" t="b">
        <v>1</v>
      </c>
      <c r="J151" s="6"/>
      <c r="K151" s="13"/>
      <c r="L151" s="13"/>
    </row>
    <row r="152">
      <c r="A152" s="56">
        <v>45799.0</v>
      </c>
      <c r="B152" s="57" t="s">
        <v>126</v>
      </c>
      <c r="C152" s="58"/>
      <c r="D152" s="60"/>
      <c r="E152" s="60"/>
      <c r="F152" s="57">
        <v>1.0</v>
      </c>
      <c r="G152" s="57">
        <f t="shared" si="2"/>
        <v>1</v>
      </c>
      <c r="H152" s="57" t="b">
        <v>1</v>
      </c>
      <c r="I152" s="57" t="b">
        <v>1</v>
      </c>
      <c r="J152" s="6"/>
      <c r="K152" s="13"/>
      <c r="L152" s="13"/>
    </row>
    <row r="153">
      <c r="A153" s="56">
        <v>45799.0</v>
      </c>
      <c r="B153" s="57" t="s">
        <v>103</v>
      </c>
      <c r="C153" s="58"/>
      <c r="D153" s="60"/>
      <c r="E153" s="60"/>
      <c r="F153" s="57">
        <v>1.0</v>
      </c>
      <c r="G153" s="57">
        <f t="shared" si="2"/>
        <v>1</v>
      </c>
      <c r="H153" s="57" t="b">
        <v>1</v>
      </c>
      <c r="I153" s="57" t="b">
        <v>1</v>
      </c>
      <c r="J153" s="6"/>
      <c r="K153" s="13"/>
      <c r="L153" s="13"/>
    </row>
    <row r="154">
      <c r="A154" s="56">
        <v>45799.0</v>
      </c>
      <c r="B154" s="57" t="s">
        <v>22</v>
      </c>
      <c r="C154" s="58"/>
      <c r="D154" s="59">
        <v>1.0</v>
      </c>
      <c r="E154" s="60"/>
      <c r="F154" s="57">
        <v>1.0</v>
      </c>
      <c r="G154" s="57">
        <f t="shared" si="2"/>
        <v>2</v>
      </c>
      <c r="H154" s="57" t="b">
        <v>1</v>
      </c>
      <c r="I154" s="57" t="b">
        <v>1</v>
      </c>
      <c r="J154" s="6"/>
      <c r="K154" s="13"/>
      <c r="L154" s="13"/>
    </row>
    <row r="155">
      <c r="A155" s="56">
        <v>45799.0</v>
      </c>
      <c r="B155" s="57" t="s">
        <v>206</v>
      </c>
      <c r="C155" s="59">
        <v>1.0</v>
      </c>
      <c r="D155" s="59">
        <v>1.0</v>
      </c>
      <c r="E155" s="59">
        <v>1.0</v>
      </c>
      <c r="F155" s="61"/>
      <c r="G155" s="57">
        <f t="shared" si="2"/>
        <v>4</v>
      </c>
      <c r="H155" s="57" t="b">
        <v>1</v>
      </c>
      <c r="I155" s="57" t="b">
        <v>1</v>
      </c>
      <c r="J155" s="6"/>
      <c r="K155" s="13"/>
      <c r="L155" s="13"/>
    </row>
    <row r="156">
      <c r="A156" s="56">
        <v>45799.0</v>
      </c>
      <c r="B156" s="57" t="s">
        <v>32</v>
      </c>
      <c r="C156" s="58"/>
      <c r="D156" s="60"/>
      <c r="E156" s="60"/>
      <c r="F156" s="57">
        <v>1.0</v>
      </c>
      <c r="G156" s="57">
        <f t="shared" si="2"/>
        <v>1</v>
      </c>
      <c r="H156" s="57" t="b">
        <v>1</v>
      </c>
      <c r="I156" s="57" t="b">
        <v>1</v>
      </c>
      <c r="J156" s="6"/>
      <c r="K156" s="13"/>
      <c r="L156" s="13"/>
    </row>
    <row r="157">
      <c r="A157" s="56">
        <v>45799.0</v>
      </c>
      <c r="B157" s="57" t="s">
        <v>247</v>
      </c>
      <c r="C157" s="59">
        <v>1.0</v>
      </c>
      <c r="D157" s="60"/>
      <c r="E157" s="60"/>
      <c r="F157" s="61"/>
      <c r="G157" s="57">
        <f t="shared" si="2"/>
        <v>2</v>
      </c>
      <c r="H157" s="57" t="b">
        <v>1</v>
      </c>
      <c r="I157" s="57" t="b">
        <v>1</v>
      </c>
      <c r="J157" s="6"/>
      <c r="K157" s="13"/>
      <c r="L157" s="13"/>
    </row>
    <row r="158">
      <c r="A158" s="56">
        <v>45799.0</v>
      </c>
      <c r="B158" s="57" t="s">
        <v>249</v>
      </c>
      <c r="C158" s="58"/>
      <c r="D158" s="60"/>
      <c r="E158" s="60"/>
      <c r="F158" s="57">
        <v>2.0</v>
      </c>
      <c r="G158" s="57">
        <f t="shared" si="2"/>
        <v>2</v>
      </c>
      <c r="H158" s="57" t="b">
        <v>1</v>
      </c>
      <c r="I158" s="57" t="b">
        <v>1</v>
      </c>
      <c r="J158" s="6"/>
      <c r="K158" s="13"/>
      <c r="L158" s="13"/>
    </row>
    <row r="159">
      <c r="A159" s="56">
        <v>45799.0</v>
      </c>
      <c r="B159" s="57" t="s">
        <v>42</v>
      </c>
      <c r="C159" s="58"/>
      <c r="D159" s="59">
        <v>10.0</v>
      </c>
      <c r="E159" s="60"/>
      <c r="F159" s="61"/>
      <c r="G159" s="57">
        <f t="shared" si="2"/>
        <v>10</v>
      </c>
      <c r="H159" s="57" t="b">
        <v>1</v>
      </c>
      <c r="I159" s="57" t="b">
        <v>1</v>
      </c>
      <c r="J159" s="6"/>
      <c r="K159" s="13"/>
      <c r="L159" s="13"/>
    </row>
    <row r="160">
      <c r="A160" s="56">
        <v>45799.0</v>
      </c>
      <c r="B160" s="57" t="s">
        <v>42</v>
      </c>
      <c r="C160" s="58"/>
      <c r="D160" s="60"/>
      <c r="E160" s="60"/>
      <c r="F160" s="57">
        <v>1.0</v>
      </c>
      <c r="G160" s="57">
        <f t="shared" si="2"/>
        <v>1</v>
      </c>
      <c r="H160" s="57" t="b">
        <v>1</v>
      </c>
      <c r="I160" s="57" t="b">
        <v>1</v>
      </c>
      <c r="J160" s="6"/>
      <c r="K160" s="13"/>
      <c r="L160" s="13"/>
    </row>
    <row r="161">
      <c r="A161" s="56">
        <v>45799.0</v>
      </c>
      <c r="B161" s="57" t="s">
        <v>256</v>
      </c>
      <c r="C161" s="71">
        <v>2.0</v>
      </c>
      <c r="D161" s="60"/>
      <c r="E161" s="60"/>
      <c r="F161" s="61"/>
      <c r="G161" s="57">
        <f t="shared" si="2"/>
        <v>4</v>
      </c>
      <c r="H161" s="57" t="b">
        <v>1</v>
      </c>
      <c r="I161" s="57" t="b">
        <v>1</v>
      </c>
      <c r="J161" s="6"/>
      <c r="K161" s="13"/>
      <c r="L161" s="13"/>
    </row>
    <row r="162">
      <c r="A162" s="56">
        <v>45799.0</v>
      </c>
      <c r="B162" s="57" t="s">
        <v>261</v>
      </c>
      <c r="C162" s="59">
        <v>1.0</v>
      </c>
      <c r="D162" s="59">
        <v>1.0</v>
      </c>
      <c r="E162" s="59">
        <v>1.0</v>
      </c>
      <c r="F162" s="61"/>
      <c r="G162" s="57">
        <f t="shared" si="2"/>
        <v>4</v>
      </c>
      <c r="H162" s="57" t="b">
        <v>1</v>
      </c>
      <c r="I162" s="57" t="b">
        <v>1</v>
      </c>
      <c r="J162" s="6"/>
      <c r="K162" s="13"/>
      <c r="L162" s="13"/>
    </row>
    <row r="163">
      <c r="A163" s="56">
        <v>45799.0</v>
      </c>
      <c r="B163" s="57" t="s">
        <v>264</v>
      </c>
      <c r="C163" s="71">
        <v>2.0</v>
      </c>
      <c r="D163" s="60"/>
      <c r="E163" s="59">
        <v>1.0</v>
      </c>
      <c r="F163" s="61"/>
      <c r="G163" s="57">
        <f t="shared" si="2"/>
        <v>5</v>
      </c>
      <c r="H163" s="57" t="b">
        <v>1</v>
      </c>
      <c r="I163" s="57" t="b">
        <v>1</v>
      </c>
      <c r="J163" s="6"/>
      <c r="K163" s="13"/>
      <c r="L163" s="13"/>
    </row>
    <row r="164">
      <c r="A164" s="56">
        <v>45799.0</v>
      </c>
      <c r="B164" s="57" t="s">
        <v>116</v>
      </c>
      <c r="C164" s="71">
        <v>3.0</v>
      </c>
      <c r="D164" s="60"/>
      <c r="E164" s="60"/>
      <c r="F164" s="61"/>
      <c r="G164" s="57">
        <f t="shared" si="2"/>
        <v>6</v>
      </c>
      <c r="H164" s="57" t="b">
        <v>1</v>
      </c>
      <c r="I164" s="57" t="b">
        <v>1</v>
      </c>
      <c r="J164" s="6"/>
      <c r="K164" s="13"/>
      <c r="L164" s="13"/>
    </row>
    <row r="165">
      <c r="A165" s="56">
        <v>45799.0</v>
      </c>
      <c r="B165" s="57" t="s">
        <v>247</v>
      </c>
      <c r="C165" s="71">
        <v>2.0</v>
      </c>
      <c r="D165" s="60"/>
      <c r="E165" s="60"/>
      <c r="F165" s="61"/>
      <c r="G165" s="57">
        <f t="shared" si="2"/>
        <v>4</v>
      </c>
      <c r="H165" s="57" t="b">
        <v>1</v>
      </c>
      <c r="I165" s="57" t="b">
        <v>1</v>
      </c>
      <c r="J165" s="6"/>
      <c r="K165" s="13"/>
      <c r="L165" s="13"/>
    </row>
    <row r="166">
      <c r="A166" s="56">
        <v>45799.0</v>
      </c>
      <c r="B166" s="57" t="s">
        <v>271</v>
      </c>
      <c r="C166" s="59">
        <v>1.0</v>
      </c>
      <c r="D166" s="59">
        <v>1.0</v>
      </c>
      <c r="E166" s="60"/>
      <c r="F166" s="61"/>
      <c r="G166" s="57">
        <f t="shared" si="2"/>
        <v>3</v>
      </c>
      <c r="H166" s="57" t="b">
        <v>1</v>
      </c>
      <c r="I166" s="57" t="b">
        <v>1</v>
      </c>
      <c r="J166" s="6"/>
      <c r="K166" s="13"/>
      <c r="L166" s="13"/>
    </row>
    <row r="167">
      <c r="A167" s="56">
        <v>45799.0</v>
      </c>
      <c r="B167" s="57" t="s">
        <v>273</v>
      </c>
      <c r="C167" s="59">
        <v>1.0</v>
      </c>
      <c r="D167" s="59">
        <v>5.0</v>
      </c>
      <c r="E167" s="59">
        <v>1.0</v>
      </c>
      <c r="F167" s="61"/>
      <c r="G167" s="57">
        <f t="shared" si="2"/>
        <v>8</v>
      </c>
      <c r="H167" s="57" t="b">
        <v>1</v>
      </c>
      <c r="I167" s="57" t="b">
        <v>1</v>
      </c>
      <c r="J167" s="6"/>
      <c r="K167" s="13"/>
      <c r="L167" s="13"/>
    </row>
    <row r="168">
      <c r="A168" s="56">
        <v>45799.0</v>
      </c>
      <c r="B168" s="57" t="s">
        <v>275</v>
      </c>
      <c r="C168" s="71">
        <v>3.0</v>
      </c>
      <c r="D168" s="60"/>
      <c r="E168" s="60"/>
      <c r="F168" s="61"/>
      <c r="G168" s="57">
        <f t="shared" si="2"/>
        <v>6</v>
      </c>
      <c r="H168" s="57" t="b">
        <v>1</v>
      </c>
      <c r="I168" s="57" t="b">
        <v>1</v>
      </c>
      <c r="J168" s="6"/>
      <c r="K168" s="13"/>
      <c r="L168" s="13"/>
    </row>
    <row r="169">
      <c r="A169" s="56">
        <v>45799.0</v>
      </c>
      <c r="B169" s="57" t="s">
        <v>278</v>
      </c>
      <c r="C169" s="59">
        <v>3.0</v>
      </c>
      <c r="D169" s="60"/>
      <c r="E169" s="60"/>
      <c r="F169" s="61"/>
      <c r="G169" s="57">
        <f t="shared" si="2"/>
        <v>6</v>
      </c>
      <c r="H169" s="57" t="b">
        <v>1</v>
      </c>
      <c r="I169" s="57" t="b">
        <v>1</v>
      </c>
      <c r="J169" s="6"/>
      <c r="K169" s="13"/>
      <c r="L169" s="13"/>
    </row>
    <row r="170">
      <c r="A170" s="56">
        <v>45798.0</v>
      </c>
      <c r="B170" s="57" t="s">
        <v>96</v>
      </c>
      <c r="C170" s="59">
        <v>2.0</v>
      </c>
      <c r="D170" s="60"/>
      <c r="E170" s="60"/>
      <c r="F170" s="61"/>
      <c r="G170" s="57">
        <f t="shared" si="2"/>
        <v>4</v>
      </c>
      <c r="H170" s="57" t="b">
        <v>1</v>
      </c>
      <c r="I170" s="57" t="b">
        <v>1</v>
      </c>
      <c r="J170" s="6"/>
      <c r="K170" s="13"/>
      <c r="L170" s="13"/>
    </row>
    <row r="171">
      <c r="A171" s="56">
        <v>45798.0</v>
      </c>
      <c r="B171" s="57" t="s">
        <v>280</v>
      </c>
      <c r="C171" s="71">
        <v>6.0</v>
      </c>
      <c r="D171" s="60"/>
      <c r="E171" s="60"/>
      <c r="F171" s="61"/>
      <c r="G171" s="57">
        <f t="shared" si="2"/>
        <v>12</v>
      </c>
      <c r="H171" s="57" t="b">
        <v>1</v>
      </c>
      <c r="I171" s="57" t="b">
        <v>1</v>
      </c>
      <c r="J171" s="6"/>
      <c r="K171" s="13"/>
      <c r="L171" s="13"/>
    </row>
    <row r="172">
      <c r="A172" s="56">
        <v>45798.0</v>
      </c>
      <c r="B172" s="57" t="s">
        <v>273</v>
      </c>
      <c r="C172" s="58"/>
      <c r="D172" s="59">
        <v>12.0</v>
      </c>
      <c r="E172" s="60"/>
      <c r="F172" s="61"/>
      <c r="G172" s="57">
        <f t="shared" si="2"/>
        <v>12</v>
      </c>
      <c r="H172" s="57" t="b">
        <v>1</v>
      </c>
      <c r="I172" s="57" t="b">
        <v>1</v>
      </c>
      <c r="J172" s="6"/>
      <c r="K172" s="13"/>
      <c r="L172" s="13"/>
    </row>
    <row r="173">
      <c r="A173" s="56">
        <v>45798.0</v>
      </c>
      <c r="B173" s="57" t="s">
        <v>283</v>
      </c>
      <c r="C173" s="59">
        <v>1.0</v>
      </c>
      <c r="D173" s="60"/>
      <c r="E173" s="60"/>
      <c r="F173" s="61"/>
      <c r="G173" s="57">
        <f t="shared" si="2"/>
        <v>2</v>
      </c>
      <c r="H173" s="57" t="b">
        <v>1</v>
      </c>
      <c r="I173" s="57" t="b">
        <v>1</v>
      </c>
      <c r="J173" s="6"/>
      <c r="K173" s="13"/>
      <c r="L173" s="13"/>
    </row>
    <row r="174">
      <c r="A174" s="56">
        <v>45798.0</v>
      </c>
      <c r="B174" s="57" t="s">
        <v>284</v>
      </c>
      <c r="C174" s="59">
        <v>1.0</v>
      </c>
      <c r="D174" s="60"/>
      <c r="E174" s="60"/>
      <c r="F174" s="61"/>
      <c r="G174" s="57">
        <f t="shared" si="2"/>
        <v>2</v>
      </c>
      <c r="H174" s="57" t="b">
        <v>1</v>
      </c>
      <c r="I174" s="57" t="b">
        <v>1</v>
      </c>
      <c r="J174" s="6"/>
      <c r="K174" s="13"/>
      <c r="L174" s="13"/>
    </row>
    <row r="175">
      <c r="A175" s="56">
        <v>45798.0</v>
      </c>
      <c r="B175" s="57" t="s">
        <v>285</v>
      </c>
      <c r="C175" s="58"/>
      <c r="D175" s="59">
        <v>1.0</v>
      </c>
      <c r="E175" s="60"/>
      <c r="F175" s="61"/>
      <c r="G175" s="57">
        <f t="shared" si="2"/>
        <v>1</v>
      </c>
      <c r="H175" s="57" t="b">
        <v>1</v>
      </c>
      <c r="I175" s="57" t="b">
        <v>1</v>
      </c>
      <c r="J175" s="6"/>
      <c r="K175" s="13"/>
      <c r="L175" s="13"/>
    </row>
    <row r="176">
      <c r="A176" s="56">
        <v>45798.0</v>
      </c>
      <c r="B176" s="57" t="s">
        <v>286</v>
      </c>
      <c r="C176" s="58"/>
      <c r="D176" s="59">
        <v>1.0</v>
      </c>
      <c r="E176" s="60"/>
      <c r="F176" s="61"/>
      <c r="G176" s="57">
        <f t="shared" si="2"/>
        <v>1</v>
      </c>
      <c r="H176" s="57" t="b">
        <v>1</v>
      </c>
      <c r="I176" s="57" t="b">
        <v>1</v>
      </c>
      <c r="J176" s="6"/>
      <c r="K176" s="13"/>
      <c r="L176" s="13"/>
    </row>
    <row r="177">
      <c r="A177" s="56">
        <v>45798.0</v>
      </c>
      <c r="B177" s="57" t="s">
        <v>287</v>
      </c>
      <c r="C177" s="59">
        <v>1.0</v>
      </c>
      <c r="D177" s="60"/>
      <c r="E177" s="60"/>
      <c r="F177" s="61"/>
      <c r="G177" s="57">
        <f t="shared" si="2"/>
        <v>2</v>
      </c>
      <c r="H177" s="57" t="b">
        <v>1</v>
      </c>
      <c r="I177" s="57" t="b">
        <v>1</v>
      </c>
      <c r="J177" s="6"/>
      <c r="K177" s="13"/>
      <c r="L177" s="13"/>
    </row>
    <row r="178">
      <c r="A178" s="56">
        <v>45798.0</v>
      </c>
      <c r="B178" s="57" t="s">
        <v>288</v>
      </c>
      <c r="C178" s="59">
        <v>1.0</v>
      </c>
      <c r="D178" s="60"/>
      <c r="E178" s="60"/>
      <c r="F178" s="61"/>
      <c r="G178" s="57">
        <f t="shared" si="2"/>
        <v>2</v>
      </c>
      <c r="H178" s="57" t="b">
        <v>1</v>
      </c>
      <c r="I178" s="57" t="b">
        <v>1</v>
      </c>
      <c r="J178" s="6"/>
      <c r="K178" s="13"/>
      <c r="L178" s="13"/>
    </row>
    <row r="179">
      <c r="A179" s="56">
        <v>45798.0</v>
      </c>
      <c r="B179" s="57" t="s">
        <v>165</v>
      </c>
      <c r="C179" s="59">
        <v>2.0</v>
      </c>
      <c r="D179" s="59">
        <v>1.0</v>
      </c>
      <c r="E179" s="60"/>
      <c r="F179" s="57">
        <v>1.0</v>
      </c>
      <c r="G179" s="57">
        <f t="shared" si="2"/>
        <v>6</v>
      </c>
      <c r="H179" s="57" t="b">
        <v>1</v>
      </c>
      <c r="I179" s="57" t="b">
        <v>1</v>
      </c>
      <c r="J179" s="6"/>
      <c r="K179" s="13"/>
      <c r="L179" s="13"/>
    </row>
    <row r="180">
      <c r="A180" s="56">
        <v>45798.0</v>
      </c>
      <c r="B180" s="57" t="s">
        <v>289</v>
      </c>
      <c r="C180" s="59">
        <v>1.0</v>
      </c>
      <c r="D180" s="60"/>
      <c r="E180" s="60"/>
      <c r="F180" s="61"/>
      <c r="G180" s="57">
        <f t="shared" si="2"/>
        <v>2</v>
      </c>
      <c r="H180" s="57" t="b">
        <v>1</v>
      </c>
      <c r="I180" s="57" t="b">
        <v>1</v>
      </c>
      <c r="J180" s="6"/>
      <c r="K180" s="13"/>
      <c r="L180" s="13"/>
    </row>
    <row r="181">
      <c r="A181" s="56">
        <v>45798.0</v>
      </c>
      <c r="B181" s="57" t="s">
        <v>291</v>
      </c>
      <c r="C181" s="59">
        <v>1.0</v>
      </c>
      <c r="D181" s="60"/>
      <c r="E181" s="60"/>
      <c r="F181" s="61"/>
      <c r="G181" s="57">
        <f t="shared" si="2"/>
        <v>2</v>
      </c>
      <c r="H181" s="57" t="b">
        <v>1</v>
      </c>
      <c r="I181" s="57" t="b">
        <v>1</v>
      </c>
      <c r="J181" s="6"/>
      <c r="K181" s="13"/>
      <c r="L181" s="13"/>
    </row>
    <row r="182">
      <c r="A182" s="56">
        <v>45798.0</v>
      </c>
      <c r="B182" s="57" t="s">
        <v>292</v>
      </c>
      <c r="C182" s="58"/>
      <c r="D182" s="59">
        <v>1.0</v>
      </c>
      <c r="E182" s="60"/>
      <c r="F182" s="61"/>
      <c r="G182" s="57">
        <f t="shared" si="2"/>
        <v>1</v>
      </c>
      <c r="H182" s="57" t="b">
        <v>1</v>
      </c>
      <c r="I182" s="57" t="b">
        <v>1</v>
      </c>
      <c r="J182" s="6"/>
      <c r="K182" s="13"/>
      <c r="L182" s="13"/>
    </row>
    <row r="183">
      <c r="A183" s="56">
        <v>45798.0</v>
      </c>
      <c r="B183" s="57" t="s">
        <v>293</v>
      </c>
      <c r="C183" s="59">
        <v>1.0</v>
      </c>
      <c r="D183" s="60"/>
      <c r="E183" s="60"/>
      <c r="F183" s="61"/>
      <c r="G183" s="57">
        <f t="shared" si="2"/>
        <v>2</v>
      </c>
      <c r="H183" s="57" t="b">
        <v>1</v>
      </c>
      <c r="I183" s="57" t="b">
        <v>1</v>
      </c>
      <c r="J183" s="6"/>
      <c r="K183" s="13"/>
      <c r="L183" s="13"/>
    </row>
    <row r="184">
      <c r="A184" s="56">
        <v>45798.0</v>
      </c>
      <c r="B184" s="57" t="s">
        <v>294</v>
      </c>
      <c r="C184" s="58"/>
      <c r="D184" s="60"/>
      <c r="E184" s="59">
        <v>2.0</v>
      </c>
      <c r="F184" s="61"/>
      <c r="G184" s="57">
        <f t="shared" si="2"/>
        <v>2</v>
      </c>
      <c r="H184" s="57" t="b">
        <v>1</v>
      </c>
      <c r="I184" s="57" t="b">
        <v>1</v>
      </c>
      <c r="J184" s="6"/>
      <c r="K184" s="13"/>
      <c r="L184" s="13"/>
    </row>
    <row r="185">
      <c r="A185" s="56">
        <v>45798.0</v>
      </c>
      <c r="B185" s="57" t="s">
        <v>68</v>
      </c>
      <c r="C185" s="59">
        <v>1.0</v>
      </c>
      <c r="D185" s="60"/>
      <c r="E185" s="60"/>
      <c r="F185" s="61"/>
      <c r="G185" s="57">
        <f t="shared" si="2"/>
        <v>2</v>
      </c>
      <c r="H185" s="57" t="b">
        <v>1</v>
      </c>
      <c r="I185" s="57" t="b">
        <v>1</v>
      </c>
      <c r="J185" s="6"/>
      <c r="K185" s="13"/>
      <c r="L185" s="13"/>
    </row>
    <row r="186">
      <c r="A186" s="56">
        <v>45798.0</v>
      </c>
      <c r="B186" s="57" t="s">
        <v>298</v>
      </c>
      <c r="C186" s="59">
        <v>1.0</v>
      </c>
      <c r="D186" s="60"/>
      <c r="E186" s="60"/>
      <c r="F186" s="61"/>
      <c r="G186" s="57">
        <f t="shared" si="2"/>
        <v>2</v>
      </c>
      <c r="H186" s="57" t="b">
        <v>1</v>
      </c>
      <c r="I186" s="57" t="b">
        <v>1</v>
      </c>
      <c r="J186" s="6"/>
      <c r="K186" s="13"/>
      <c r="L186" s="13"/>
    </row>
    <row r="187">
      <c r="A187" s="56">
        <v>45798.0</v>
      </c>
      <c r="B187" s="57" t="s">
        <v>302</v>
      </c>
      <c r="C187" s="58"/>
      <c r="D187" s="60"/>
      <c r="E187" s="60"/>
      <c r="F187" s="57">
        <v>2.0</v>
      </c>
      <c r="G187" s="57">
        <f t="shared" si="2"/>
        <v>2</v>
      </c>
      <c r="H187" s="57" t="b">
        <v>1</v>
      </c>
      <c r="I187" s="57" t="b">
        <v>1</v>
      </c>
      <c r="J187" s="6"/>
      <c r="K187" s="13"/>
      <c r="L187" s="13"/>
    </row>
    <row r="188">
      <c r="A188" s="56">
        <v>45798.0</v>
      </c>
      <c r="B188" s="57" t="s">
        <v>38</v>
      </c>
      <c r="C188" s="59">
        <v>3.0</v>
      </c>
      <c r="D188" s="60"/>
      <c r="E188" s="60"/>
      <c r="F188" s="61"/>
      <c r="G188" s="57">
        <f t="shared" si="2"/>
        <v>6</v>
      </c>
      <c r="H188" s="57" t="b">
        <v>1</v>
      </c>
      <c r="I188" s="57" t="b">
        <v>1</v>
      </c>
      <c r="J188" s="6"/>
      <c r="K188" s="13"/>
      <c r="L188" s="13"/>
    </row>
    <row r="189">
      <c r="A189" s="56">
        <v>45798.0</v>
      </c>
      <c r="B189" s="57" t="s">
        <v>307</v>
      </c>
      <c r="C189" s="58"/>
      <c r="D189" s="59">
        <v>1.0</v>
      </c>
      <c r="E189" s="60"/>
      <c r="F189" s="57">
        <v>1.0</v>
      </c>
      <c r="G189" s="57">
        <f t="shared" si="2"/>
        <v>2</v>
      </c>
      <c r="H189" s="57" t="b">
        <v>1</v>
      </c>
      <c r="I189" s="57" t="b">
        <v>1</v>
      </c>
      <c r="J189" s="6"/>
      <c r="K189" s="13"/>
      <c r="L189" s="13"/>
    </row>
    <row r="190">
      <c r="A190" s="56">
        <v>45798.0</v>
      </c>
      <c r="B190" s="57" t="s">
        <v>46</v>
      </c>
      <c r="C190" s="58"/>
      <c r="D190" s="59">
        <v>1.0</v>
      </c>
      <c r="E190" s="60"/>
      <c r="F190" s="61"/>
      <c r="G190" s="57">
        <f t="shared" si="2"/>
        <v>1</v>
      </c>
      <c r="H190" s="57" t="b">
        <v>1</v>
      </c>
      <c r="I190" s="57" t="b">
        <v>1</v>
      </c>
      <c r="J190" s="6"/>
      <c r="K190" s="13"/>
      <c r="L190" s="13"/>
    </row>
    <row r="191">
      <c r="A191" s="56">
        <v>45798.0</v>
      </c>
      <c r="B191" s="57" t="s">
        <v>308</v>
      </c>
      <c r="C191" s="59">
        <v>2.0</v>
      </c>
      <c r="D191" s="60"/>
      <c r="E191" s="60"/>
      <c r="F191" s="61"/>
      <c r="G191" s="57">
        <f t="shared" si="2"/>
        <v>4</v>
      </c>
      <c r="H191" s="57" t="b">
        <v>1</v>
      </c>
      <c r="I191" s="57" t="b">
        <v>1</v>
      </c>
      <c r="J191" s="6"/>
      <c r="K191" s="13"/>
      <c r="L191" s="13"/>
    </row>
    <row r="192">
      <c r="A192" s="56">
        <v>45798.0</v>
      </c>
      <c r="B192" s="57" t="s">
        <v>134</v>
      </c>
      <c r="C192" s="58"/>
      <c r="D192" s="60"/>
      <c r="E192" s="60"/>
      <c r="F192" s="57">
        <v>2.0</v>
      </c>
      <c r="G192" s="57">
        <f t="shared" si="2"/>
        <v>2</v>
      </c>
      <c r="H192" s="57" t="b">
        <v>1</v>
      </c>
      <c r="I192" s="57" t="b">
        <v>1</v>
      </c>
      <c r="J192" s="6"/>
      <c r="K192" s="13"/>
      <c r="L192" s="13"/>
    </row>
    <row r="193">
      <c r="A193" s="56">
        <v>45798.0</v>
      </c>
      <c r="B193" s="57" t="s">
        <v>309</v>
      </c>
      <c r="C193" s="71">
        <v>2.0</v>
      </c>
      <c r="D193" s="60"/>
      <c r="E193" s="60"/>
      <c r="F193" s="61"/>
      <c r="G193" s="57">
        <f t="shared" si="2"/>
        <v>4</v>
      </c>
      <c r="H193" s="57" t="b">
        <v>1</v>
      </c>
      <c r="I193" s="57" t="b">
        <v>1</v>
      </c>
      <c r="J193" s="6"/>
      <c r="K193" s="13"/>
      <c r="L193" s="13"/>
    </row>
    <row r="194">
      <c r="A194" s="56">
        <v>45798.0</v>
      </c>
      <c r="B194" s="57" t="s">
        <v>134</v>
      </c>
      <c r="C194" s="58"/>
      <c r="D194" s="60"/>
      <c r="E194" s="60"/>
      <c r="F194" s="57">
        <v>1.0</v>
      </c>
      <c r="G194" s="57">
        <f t="shared" si="2"/>
        <v>1</v>
      </c>
      <c r="H194" s="57" t="b">
        <v>1</v>
      </c>
      <c r="I194" s="57" t="b">
        <v>1</v>
      </c>
      <c r="J194" s="6"/>
      <c r="K194" s="13"/>
      <c r="L194" s="13"/>
    </row>
    <row r="195">
      <c r="A195" s="56">
        <v>45798.0</v>
      </c>
      <c r="B195" s="57" t="s">
        <v>311</v>
      </c>
      <c r="C195" s="59">
        <v>1.0</v>
      </c>
      <c r="D195" s="60"/>
      <c r="E195" s="60"/>
      <c r="F195" s="61"/>
      <c r="G195" s="57">
        <f t="shared" si="2"/>
        <v>2</v>
      </c>
      <c r="H195" s="57" t="b">
        <v>1</v>
      </c>
      <c r="I195" s="57" t="b">
        <v>1</v>
      </c>
      <c r="J195" s="6"/>
      <c r="K195" s="13"/>
      <c r="L195" s="13"/>
    </row>
    <row r="196">
      <c r="A196" s="56">
        <v>45798.0</v>
      </c>
      <c r="B196" s="57" t="s">
        <v>312</v>
      </c>
      <c r="C196" s="59">
        <v>1.0</v>
      </c>
      <c r="D196" s="60"/>
      <c r="E196" s="60"/>
      <c r="F196" s="61"/>
      <c r="G196" s="57">
        <f t="shared" si="2"/>
        <v>2</v>
      </c>
      <c r="H196" s="57" t="b">
        <v>1</v>
      </c>
      <c r="I196" s="57" t="b">
        <v>1</v>
      </c>
      <c r="J196" s="6"/>
      <c r="K196" s="13"/>
      <c r="L196" s="13"/>
    </row>
    <row r="197">
      <c r="A197" s="56">
        <v>45798.0</v>
      </c>
      <c r="B197" s="57" t="s">
        <v>315</v>
      </c>
      <c r="C197" s="59">
        <v>1.0</v>
      </c>
      <c r="D197" s="60"/>
      <c r="E197" s="60"/>
      <c r="F197" s="61"/>
      <c r="G197" s="57">
        <f t="shared" si="2"/>
        <v>2</v>
      </c>
      <c r="H197" s="57" t="b">
        <v>1</v>
      </c>
      <c r="I197" s="57" t="b">
        <v>1</v>
      </c>
      <c r="J197" s="6"/>
      <c r="K197" s="13"/>
      <c r="L197" s="13"/>
    </row>
    <row r="198">
      <c r="A198" s="56">
        <v>45798.0</v>
      </c>
      <c r="B198" s="57" t="s">
        <v>317</v>
      </c>
      <c r="C198" s="59">
        <v>1.0</v>
      </c>
      <c r="D198" s="60"/>
      <c r="E198" s="60"/>
      <c r="F198" s="61"/>
      <c r="G198" s="57">
        <f t="shared" si="2"/>
        <v>2</v>
      </c>
      <c r="H198" s="57" t="b">
        <v>1</v>
      </c>
      <c r="I198" s="57" t="b">
        <v>1</v>
      </c>
      <c r="J198" s="6"/>
      <c r="K198" s="13"/>
      <c r="L198" s="13"/>
    </row>
    <row r="199">
      <c r="A199" s="56">
        <v>45798.0</v>
      </c>
      <c r="B199" s="57" t="s">
        <v>319</v>
      </c>
      <c r="C199" s="58"/>
      <c r="D199" s="60"/>
      <c r="E199" s="60"/>
      <c r="F199" s="57">
        <v>1.0</v>
      </c>
      <c r="G199" s="57">
        <f t="shared" si="2"/>
        <v>1</v>
      </c>
      <c r="H199" s="57" t="b">
        <v>1</v>
      </c>
      <c r="I199" s="57" t="b">
        <v>1</v>
      </c>
      <c r="J199" s="6"/>
      <c r="K199" s="13"/>
      <c r="L199" s="13"/>
    </row>
    <row r="200">
      <c r="A200" s="56">
        <v>45798.0</v>
      </c>
      <c r="B200" s="57" t="s">
        <v>32</v>
      </c>
      <c r="C200" s="58"/>
      <c r="D200" s="60"/>
      <c r="E200" s="59">
        <v>2.0</v>
      </c>
      <c r="F200" s="61"/>
      <c r="G200" s="57">
        <f t="shared" si="2"/>
        <v>2</v>
      </c>
      <c r="H200" s="57" t="b">
        <v>1</v>
      </c>
      <c r="I200" s="57" t="b">
        <v>1</v>
      </c>
      <c r="J200" s="6"/>
      <c r="K200" s="13"/>
      <c r="L200" s="13"/>
    </row>
    <row r="201">
      <c r="A201" s="56">
        <v>45798.0</v>
      </c>
      <c r="B201" s="57" t="s">
        <v>326</v>
      </c>
      <c r="C201" s="59">
        <v>1.0</v>
      </c>
      <c r="D201" s="60"/>
      <c r="E201" s="60"/>
      <c r="F201" s="57">
        <v>1.0</v>
      </c>
      <c r="G201" s="57">
        <f t="shared" si="2"/>
        <v>3</v>
      </c>
      <c r="H201" s="57" t="b">
        <v>1</v>
      </c>
      <c r="I201" s="57" t="b">
        <v>1</v>
      </c>
      <c r="J201" s="6"/>
      <c r="K201" s="13"/>
      <c r="L201" s="13"/>
    </row>
    <row r="202">
      <c r="A202" s="56">
        <v>45798.0</v>
      </c>
      <c r="B202" s="57" t="s">
        <v>62</v>
      </c>
      <c r="C202" s="58"/>
      <c r="D202" s="59">
        <v>10.0</v>
      </c>
      <c r="E202" s="60"/>
      <c r="F202" s="61"/>
      <c r="G202" s="57">
        <f t="shared" si="2"/>
        <v>10</v>
      </c>
      <c r="H202" s="57" t="b">
        <v>1</v>
      </c>
      <c r="I202" s="57" t="b">
        <v>1</v>
      </c>
      <c r="J202" s="6"/>
      <c r="K202" s="13"/>
      <c r="L202" s="13"/>
    </row>
    <row r="203">
      <c r="A203" s="56">
        <v>45798.0</v>
      </c>
      <c r="B203" s="57" t="s">
        <v>331</v>
      </c>
      <c r="C203" s="58"/>
      <c r="D203" s="60"/>
      <c r="E203" s="59">
        <v>2.0</v>
      </c>
      <c r="F203" s="61"/>
      <c r="G203" s="57">
        <f t="shared" si="2"/>
        <v>2</v>
      </c>
      <c r="H203" s="57" t="b">
        <v>1</v>
      </c>
      <c r="I203" s="57" t="b">
        <v>1</v>
      </c>
      <c r="J203" s="6"/>
      <c r="K203" s="13"/>
      <c r="L203" s="13"/>
    </row>
    <row r="204">
      <c r="A204" s="56">
        <v>45798.0</v>
      </c>
      <c r="B204" s="57" t="s">
        <v>86</v>
      </c>
      <c r="C204" s="58"/>
      <c r="D204" s="60"/>
      <c r="E204" s="60"/>
      <c r="F204" s="57">
        <v>2.0</v>
      </c>
      <c r="G204" s="57">
        <f t="shared" si="2"/>
        <v>2</v>
      </c>
      <c r="H204" s="57" t="b">
        <v>1</v>
      </c>
      <c r="I204" s="57" t="b">
        <v>1</v>
      </c>
      <c r="J204" s="6"/>
      <c r="K204" s="13"/>
      <c r="L204" s="13"/>
    </row>
    <row r="205">
      <c r="A205" s="56">
        <v>45798.0</v>
      </c>
      <c r="B205" s="57" t="s">
        <v>22</v>
      </c>
      <c r="C205" s="58"/>
      <c r="D205" s="59">
        <v>1.0</v>
      </c>
      <c r="E205" s="60"/>
      <c r="F205" s="61"/>
      <c r="G205" s="57">
        <f t="shared" si="2"/>
        <v>1</v>
      </c>
      <c r="H205" s="57" t="b">
        <v>1</v>
      </c>
      <c r="I205" s="57" t="b">
        <v>1</v>
      </c>
      <c r="J205" s="6"/>
      <c r="K205" s="13"/>
      <c r="L205" s="13"/>
    </row>
    <row r="206">
      <c r="A206" s="56">
        <v>45798.0</v>
      </c>
      <c r="B206" s="57" t="s">
        <v>96</v>
      </c>
      <c r="C206" s="59">
        <v>1.0</v>
      </c>
      <c r="D206" s="60"/>
      <c r="E206" s="60"/>
      <c r="F206" s="61"/>
      <c r="G206" s="57">
        <f t="shared" si="2"/>
        <v>2</v>
      </c>
      <c r="H206" s="57" t="b">
        <v>1</v>
      </c>
      <c r="I206" s="57" t="b">
        <v>1</v>
      </c>
      <c r="J206" s="6"/>
      <c r="K206" s="13"/>
      <c r="L206" s="13"/>
    </row>
    <row r="207">
      <c r="A207" s="56">
        <v>45798.0</v>
      </c>
      <c r="B207" s="57" t="s">
        <v>22</v>
      </c>
      <c r="C207" s="58"/>
      <c r="D207" s="60"/>
      <c r="E207" s="60"/>
      <c r="F207" s="57">
        <v>1.0</v>
      </c>
      <c r="G207" s="57">
        <f t="shared" si="2"/>
        <v>1</v>
      </c>
      <c r="H207" s="57" t="b">
        <v>1</v>
      </c>
      <c r="I207" s="57" t="b">
        <v>1</v>
      </c>
      <c r="J207" s="6"/>
      <c r="K207" s="13"/>
      <c r="L207" s="13"/>
    </row>
    <row r="208">
      <c r="A208" s="56">
        <v>45798.0</v>
      </c>
      <c r="B208" s="57" t="s">
        <v>337</v>
      </c>
      <c r="C208" s="58"/>
      <c r="D208" s="59">
        <v>1.0</v>
      </c>
      <c r="E208" s="60"/>
      <c r="F208" s="61"/>
      <c r="G208" s="57">
        <f t="shared" si="2"/>
        <v>1</v>
      </c>
      <c r="H208" s="57" t="b">
        <v>1</v>
      </c>
      <c r="I208" s="57" t="b">
        <v>1</v>
      </c>
      <c r="J208" s="6"/>
      <c r="K208" s="13"/>
      <c r="L208" s="13"/>
    </row>
    <row r="209">
      <c r="A209" s="56">
        <v>45798.0</v>
      </c>
      <c r="B209" s="57" t="s">
        <v>293</v>
      </c>
      <c r="C209" s="59">
        <v>1.0</v>
      </c>
      <c r="D209" s="60"/>
      <c r="E209" s="60"/>
      <c r="F209" s="57">
        <v>1.0</v>
      </c>
      <c r="G209" s="57">
        <f t="shared" si="2"/>
        <v>3</v>
      </c>
      <c r="H209" s="57" t="b">
        <v>1</v>
      </c>
      <c r="I209" s="57" t="b">
        <v>1</v>
      </c>
      <c r="J209" s="6"/>
      <c r="K209" s="13"/>
      <c r="L209" s="13"/>
    </row>
    <row r="210">
      <c r="A210" s="56">
        <v>45798.0</v>
      </c>
      <c r="B210" s="57" t="s">
        <v>338</v>
      </c>
      <c r="C210" s="59">
        <v>1.0</v>
      </c>
      <c r="D210" s="60"/>
      <c r="E210" s="60"/>
      <c r="F210" s="61"/>
      <c r="G210" s="57">
        <f t="shared" si="2"/>
        <v>2</v>
      </c>
      <c r="H210" s="57" t="b">
        <v>1</v>
      </c>
      <c r="I210" s="57" t="b">
        <v>1</v>
      </c>
      <c r="J210" s="6"/>
      <c r="K210" s="13"/>
      <c r="L210" s="13"/>
    </row>
    <row r="211">
      <c r="A211" s="56">
        <v>45798.0</v>
      </c>
      <c r="B211" s="57" t="s">
        <v>317</v>
      </c>
      <c r="C211" s="71">
        <v>2.0</v>
      </c>
      <c r="D211" s="60"/>
      <c r="E211" s="60"/>
      <c r="F211" s="61"/>
      <c r="G211" s="57">
        <f t="shared" si="2"/>
        <v>4</v>
      </c>
      <c r="H211" s="57" t="b">
        <v>1</v>
      </c>
      <c r="I211" s="57" t="b">
        <v>1</v>
      </c>
      <c r="J211" s="6"/>
      <c r="K211" s="13"/>
      <c r="L211" s="13"/>
    </row>
    <row r="212">
      <c r="A212" s="56">
        <v>45798.0</v>
      </c>
      <c r="B212" s="57" t="s">
        <v>278</v>
      </c>
      <c r="C212" s="58"/>
      <c r="D212" s="60"/>
      <c r="E212" s="60"/>
      <c r="F212" s="57">
        <v>1.0</v>
      </c>
      <c r="G212" s="57">
        <f t="shared" si="2"/>
        <v>1</v>
      </c>
      <c r="H212" s="57" t="b">
        <v>1</v>
      </c>
      <c r="I212" s="57" t="b">
        <v>1</v>
      </c>
      <c r="J212" s="6"/>
      <c r="K212" s="13"/>
      <c r="L212" s="13"/>
    </row>
    <row r="213">
      <c r="A213" s="56">
        <v>45798.0</v>
      </c>
      <c r="B213" s="57" t="s">
        <v>345</v>
      </c>
      <c r="C213" s="58"/>
      <c r="D213" s="59">
        <v>1.0</v>
      </c>
      <c r="E213" s="60"/>
      <c r="F213" s="61"/>
      <c r="G213" s="57">
        <f t="shared" si="2"/>
        <v>1</v>
      </c>
      <c r="H213" s="57" t="b">
        <v>1</v>
      </c>
      <c r="I213" s="57" t="b">
        <v>1</v>
      </c>
      <c r="J213" s="6"/>
      <c r="K213" s="13"/>
      <c r="L213" s="13"/>
    </row>
    <row r="214">
      <c r="A214" s="56">
        <v>45798.0</v>
      </c>
      <c r="B214" s="57" t="s">
        <v>39</v>
      </c>
      <c r="C214" s="59">
        <v>3.0</v>
      </c>
      <c r="D214" s="60"/>
      <c r="E214" s="60"/>
      <c r="F214" s="61"/>
      <c r="G214" s="57">
        <f t="shared" si="2"/>
        <v>6</v>
      </c>
      <c r="H214" s="57" t="b">
        <v>1</v>
      </c>
      <c r="I214" s="57" t="b">
        <v>1</v>
      </c>
      <c r="J214" s="6"/>
      <c r="K214" s="13"/>
      <c r="L214" s="13"/>
    </row>
    <row r="215">
      <c r="A215" s="56">
        <v>45798.0</v>
      </c>
      <c r="B215" s="57" t="s">
        <v>32</v>
      </c>
      <c r="C215" s="59">
        <v>1.0</v>
      </c>
      <c r="D215" s="60"/>
      <c r="E215" s="60"/>
      <c r="F215" s="61"/>
      <c r="G215" s="57">
        <f t="shared" si="2"/>
        <v>2</v>
      </c>
      <c r="H215" s="57" t="b">
        <v>1</v>
      </c>
      <c r="I215" s="57" t="b">
        <v>1</v>
      </c>
      <c r="J215" s="6"/>
      <c r="K215" s="13"/>
      <c r="L215" s="13"/>
    </row>
    <row r="216">
      <c r="A216" s="56">
        <v>45798.0</v>
      </c>
      <c r="B216" s="57" t="s">
        <v>349</v>
      </c>
      <c r="C216" s="58"/>
      <c r="D216" s="59">
        <v>4.0</v>
      </c>
      <c r="E216" s="60"/>
      <c r="F216" s="61"/>
      <c r="G216" s="57">
        <f t="shared" si="2"/>
        <v>4</v>
      </c>
      <c r="H216" s="57" t="b">
        <v>1</v>
      </c>
      <c r="I216" s="57" t="b">
        <v>1</v>
      </c>
      <c r="J216" s="6"/>
      <c r="K216" s="13"/>
      <c r="L216" s="13"/>
    </row>
    <row r="217">
      <c r="A217" s="56">
        <v>45798.0</v>
      </c>
      <c r="B217" s="57" t="s">
        <v>350</v>
      </c>
      <c r="C217" s="58"/>
      <c r="D217" s="60"/>
      <c r="E217" s="60"/>
      <c r="F217" s="57">
        <v>1.0</v>
      </c>
      <c r="G217" s="57">
        <f t="shared" si="2"/>
        <v>1</v>
      </c>
      <c r="H217" s="57" t="b">
        <v>1</v>
      </c>
      <c r="I217" s="57" t="b">
        <v>1</v>
      </c>
      <c r="J217" s="6"/>
      <c r="K217" s="13"/>
      <c r="L217" s="13"/>
    </row>
    <row r="218">
      <c r="A218" s="56">
        <v>45798.0</v>
      </c>
      <c r="B218" s="57" t="s">
        <v>46</v>
      </c>
      <c r="C218" s="58"/>
      <c r="D218" s="59">
        <v>2.0</v>
      </c>
      <c r="E218" s="60"/>
      <c r="F218" s="57">
        <v>1.0</v>
      </c>
      <c r="G218" s="57">
        <f t="shared" si="2"/>
        <v>3</v>
      </c>
      <c r="H218" s="57" t="b">
        <v>1</v>
      </c>
      <c r="I218" s="57" t="b">
        <v>1</v>
      </c>
      <c r="J218" s="6"/>
      <c r="K218" s="13"/>
      <c r="L218" s="13"/>
    </row>
    <row r="219">
      <c r="A219" s="56">
        <v>45798.0</v>
      </c>
      <c r="B219" s="57" t="s">
        <v>353</v>
      </c>
      <c r="C219" s="58"/>
      <c r="D219" s="60"/>
      <c r="E219" s="59">
        <v>1.0</v>
      </c>
      <c r="F219" s="61"/>
      <c r="G219" s="57">
        <f t="shared" si="2"/>
        <v>1</v>
      </c>
      <c r="H219" s="57" t="b">
        <v>1</v>
      </c>
      <c r="I219" s="57" t="b">
        <v>1</v>
      </c>
      <c r="J219" s="6"/>
      <c r="K219" s="13"/>
      <c r="L219" s="13"/>
    </row>
    <row r="220">
      <c r="A220" s="56">
        <v>45798.0</v>
      </c>
      <c r="B220" s="57" t="s">
        <v>354</v>
      </c>
      <c r="C220" s="58"/>
      <c r="D220" s="60"/>
      <c r="E220" s="60"/>
      <c r="F220" s="57">
        <v>5.0</v>
      </c>
      <c r="G220" s="57">
        <f t="shared" si="2"/>
        <v>5</v>
      </c>
      <c r="H220" s="57" t="b">
        <v>1</v>
      </c>
      <c r="I220" s="57" t="b">
        <v>1</v>
      </c>
      <c r="J220" s="6"/>
      <c r="K220" s="13"/>
      <c r="L220" s="13"/>
    </row>
    <row r="221">
      <c r="A221" s="56">
        <v>45798.0</v>
      </c>
      <c r="B221" s="57" t="s">
        <v>356</v>
      </c>
      <c r="C221" s="59">
        <v>1.0</v>
      </c>
      <c r="D221" s="60"/>
      <c r="E221" s="60"/>
      <c r="F221" s="57">
        <v>1.0</v>
      </c>
      <c r="G221" s="57">
        <f t="shared" si="2"/>
        <v>3</v>
      </c>
      <c r="H221" s="57" t="b">
        <v>1</v>
      </c>
      <c r="I221" s="57" t="b">
        <v>1</v>
      </c>
      <c r="J221" s="6"/>
      <c r="K221" s="13"/>
      <c r="L221" s="13"/>
    </row>
    <row r="222">
      <c r="A222" s="56">
        <v>45798.0</v>
      </c>
      <c r="B222" s="57" t="s">
        <v>358</v>
      </c>
      <c r="C222" s="58"/>
      <c r="D222" s="59">
        <v>1.0</v>
      </c>
      <c r="E222" s="60"/>
      <c r="F222" s="57">
        <v>1.0</v>
      </c>
      <c r="G222" s="57">
        <f t="shared" si="2"/>
        <v>2</v>
      </c>
      <c r="H222" s="57" t="b">
        <v>1</v>
      </c>
      <c r="I222" s="57" t="b">
        <v>1</v>
      </c>
      <c r="J222" s="6"/>
      <c r="K222" s="13"/>
      <c r="L222" s="13"/>
    </row>
    <row r="223">
      <c r="A223" s="56">
        <v>45798.0</v>
      </c>
      <c r="B223" s="57" t="s">
        <v>72</v>
      </c>
      <c r="C223" s="59">
        <v>5.0</v>
      </c>
      <c r="D223" s="60"/>
      <c r="E223" s="60"/>
      <c r="F223" s="61"/>
      <c r="G223" s="57">
        <f t="shared" si="2"/>
        <v>10</v>
      </c>
      <c r="H223" s="57" t="b">
        <v>1</v>
      </c>
      <c r="I223" s="57" t="b">
        <v>1</v>
      </c>
      <c r="J223" s="6"/>
      <c r="K223" s="13"/>
      <c r="L223" s="13"/>
    </row>
    <row r="224">
      <c r="A224" s="56">
        <v>45798.0</v>
      </c>
      <c r="B224" s="57" t="s">
        <v>361</v>
      </c>
      <c r="C224" s="58"/>
      <c r="D224" s="59">
        <v>1.0</v>
      </c>
      <c r="E224" s="60"/>
      <c r="F224" s="61"/>
      <c r="G224" s="57">
        <f t="shared" si="2"/>
        <v>1</v>
      </c>
      <c r="H224" s="57" t="b">
        <v>1</v>
      </c>
      <c r="I224" s="57" t="b">
        <v>1</v>
      </c>
      <c r="J224" s="6"/>
      <c r="K224" s="13"/>
      <c r="L224" s="13"/>
    </row>
    <row r="225">
      <c r="A225" s="56">
        <v>45798.0</v>
      </c>
      <c r="B225" s="57" t="s">
        <v>29</v>
      </c>
      <c r="C225" s="58"/>
      <c r="D225" s="60"/>
      <c r="E225" s="60"/>
      <c r="F225" s="57">
        <v>1.0</v>
      </c>
      <c r="G225" s="57">
        <f t="shared" si="2"/>
        <v>1</v>
      </c>
      <c r="H225" s="57" t="b">
        <v>1</v>
      </c>
      <c r="I225" s="57" t="b">
        <v>1</v>
      </c>
      <c r="J225" s="6"/>
      <c r="K225" s="13"/>
      <c r="L225" s="13"/>
    </row>
    <row r="226">
      <c r="A226" s="56">
        <v>45798.0</v>
      </c>
      <c r="B226" s="57" t="s">
        <v>32</v>
      </c>
      <c r="C226" s="59">
        <v>2.0</v>
      </c>
      <c r="D226" s="60"/>
      <c r="E226" s="60"/>
      <c r="F226" s="57">
        <v>1.0</v>
      </c>
      <c r="G226" s="57">
        <f t="shared" si="2"/>
        <v>5</v>
      </c>
      <c r="H226" s="57" t="b">
        <v>1</v>
      </c>
      <c r="I226" s="57" t="b">
        <v>1</v>
      </c>
      <c r="J226" s="6"/>
      <c r="K226" s="13"/>
      <c r="L226" s="13"/>
    </row>
    <row r="227">
      <c r="A227" s="56">
        <v>45798.0</v>
      </c>
      <c r="B227" s="57" t="s">
        <v>40</v>
      </c>
      <c r="C227" s="59">
        <v>2.0</v>
      </c>
      <c r="D227" s="60"/>
      <c r="E227" s="60"/>
      <c r="F227" s="61"/>
      <c r="G227" s="57">
        <f t="shared" si="2"/>
        <v>4</v>
      </c>
      <c r="H227" s="57" t="b">
        <v>1</v>
      </c>
      <c r="I227" s="57" t="b">
        <v>1</v>
      </c>
      <c r="J227" s="6"/>
      <c r="K227" s="13"/>
      <c r="L227" s="13"/>
    </row>
    <row r="228">
      <c r="A228" s="56">
        <v>45798.0</v>
      </c>
      <c r="B228" s="57" t="s">
        <v>365</v>
      </c>
      <c r="C228" s="59">
        <v>2.0</v>
      </c>
      <c r="D228" s="59">
        <v>1.0</v>
      </c>
      <c r="E228" s="60"/>
      <c r="F228" s="61"/>
      <c r="G228" s="57">
        <f t="shared" si="2"/>
        <v>5</v>
      </c>
      <c r="H228" s="57" t="b">
        <v>1</v>
      </c>
      <c r="I228" s="57" t="b">
        <v>1</v>
      </c>
      <c r="J228" s="6"/>
      <c r="K228" s="13"/>
      <c r="L228" s="13"/>
    </row>
    <row r="229">
      <c r="A229" s="56">
        <v>45798.0</v>
      </c>
      <c r="B229" s="57" t="s">
        <v>356</v>
      </c>
      <c r="C229" s="59">
        <v>1.0</v>
      </c>
      <c r="D229" s="60"/>
      <c r="E229" s="60"/>
      <c r="F229" s="57">
        <v>1.0</v>
      </c>
      <c r="G229" s="57">
        <f t="shared" si="2"/>
        <v>3</v>
      </c>
      <c r="H229" s="57" t="b">
        <v>1</v>
      </c>
      <c r="I229" s="57" t="b">
        <v>1</v>
      </c>
      <c r="J229" s="6"/>
      <c r="K229" s="13"/>
      <c r="L229" s="13"/>
    </row>
    <row r="230">
      <c r="A230" s="56">
        <v>45798.0</v>
      </c>
      <c r="B230" s="57" t="s">
        <v>366</v>
      </c>
      <c r="C230" s="58"/>
      <c r="D230" s="59">
        <v>1.0</v>
      </c>
      <c r="E230" s="60"/>
      <c r="F230" s="61"/>
      <c r="G230" s="57">
        <f t="shared" si="2"/>
        <v>1</v>
      </c>
      <c r="H230" s="57" t="b">
        <v>1</v>
      </c>
      <c r="I230" s="57" t="b">
        <v>1</v>
      </c>
      <c r="J230" s="6"/>
      <c r="K230" s="13"/>
      <c r="L230" s="13"/>
    </row>
    <row r="231">
      <c r="A231" s="56">
        <v>45798.0</v>
      </c>
      <c r="B231" s="57" t="s">
        <v>356</v>
      </c>
      <c r="C231" s="58"/>
      <c r="D231" s="60"/>
      <c r="E231" s="59">
        <v>1.0</v>
      </c>
      <c r="F231" s="61"/>
      <c r="G231" s="57">
        <f t="shared" si="2"/>
        <v>1</v>
      </c>
      <c r="H231" s="57" t="b">
        <v>1</v>
      </c>
      <c r="I231" s="57" t="b">
        <v>1</v>
      </c>
      <c r="J231" s="6"/>
      <c r="K231" s="13"/>
      <c r="L231" s="13"/>
    </row>
    <row r="232">
      <c r="A232" s="56">
        <v>45798.0</v>
      </c>
      <c r="B232" s="57" t="s">
        <v>367</v>
      </c>
      <c r="C232" s="58"/>
      <c r="D232" s="59">
        <v>2.0</v>
      </c>
      <c r="E232" s="60"/>
      <c r="F232" s="61"/>
      <c r="G232" s="57">
        <f t="shared" si="2"/>
        <v>2</v>
      </c>
      <c r="H232" s="57" t="b">
        <v>1</v>
      </c>
      <c r="I232" s="57" t="b">
        <v>1</v>
      </c>
      <c r="J232" s="6"/>
      <c r="K232" s="13"/>
      <c r="L232" s="13"/>
    </row>
    <row r="233">
      <c r="A233" s="56">
        <v>45798.0</v>
      </c>
      <c r="B233" s="57" t="s">
        <v>369</v>
      </c>
      <c r="C233" s="58"/>
      <c r="D233" s="60"/>
      <c r="E233" s="60"/>
      <c r="F233" s="57">
        <v>1.0</v>
      </c>
      <c r="G233" s="57">
        <f t="shared" si="2"/>
        <v>1</v>
      </c>
      <c r="H233" s="57" t="b">
        <v>1</v>
      </c>
      <c r="I233" s="57" t="b">
        <v>1</v>
      </c>
      <c r="J233" s="6"/>
      <c r="K233" s="13"/>
      <c r="L233" s="13"/>
    </row>
    <row r="234">
      <c r="A234" s="56">
        <v>45798.0</v>
      </c>
      <c r="B234" s="57" t="s">
        <v>32</v>
      </c>
      <c r="C234" s="58"/>
      <c r="D234" s="59">
        <v>1.0</v>
      </c>
      <c r="E234" s="59">
        <v>2.0</v>
      </c>
      <c r="F234" s="61"/>
      <c r="G234" s="57">
        <f t="shared" si="2"/>
        <v>3</v>
      </c>
      <c r="H234" s="57" t="b">
        <v>1</v>
      </c>
      <c r="I234" s="57" t="b">
        <v>1</v>
      </c>
      <c r="J234" s="6"/>
      <c r="K234" s="13"/>
      <c r="L234" s="13"/>
    </row>
    <row r="235">
      <c r="A235" s="56">
        <v>45798.0</v>
      </c>
      <c r="B235" s="57" t="s">
        <v>372</v>
      </c>
      <c r="C235" s="58"/>
      <c r="D235" s="60"/>
      <c r="E235" s="59">
        <v>2.0</v>
      </c>
      <c r="F235" s="61"/>
      <c r="G235" s="57">
        <f t="shared" si="2"/>
        <v>2</v>
      </c>
      <c r="H235" s="57" t="b">
        <v>1</v>
      </c>
      <c r="I235" s="57" t="b">
        <v>1</v>
      </c>
      <c r="J235" s="6"/>
      <c r="K235" s="13"/>
      <c r="L235" s="13"/>
    </row>
    <row r="236">
      <c r="A236" s="56">
        <v>45798.0</v>
      </c>
      <c r="B236" s="57" t="s">
        <v>374</v>
      </c>
      <c r="C236" s="58"/>
      <c r="D236" s="60"/>
      <c r="E236" s="60"/>
      <c r="F236" s="57">
        <v>1.0</v>
      </c>
      <c r="G236" s="57">
        <f t="shared" si="2"/>
        <v>1</v>
      </c>
      <c r="H236" s="57" t="b">
        <v>1</v>
      </c>
      <c r="I236" s="57" t="b">
        <v>1</v>
      </c>
      <c r="J236" s="6"/>
      <c r="K236" s="13"/>
      <c r="L236" s="13"/>
    </row>
    <row r="237">
      <c r="A237" s="56">
        <v>45798.0</v>
      </c>
      <c r="B237" s="57" t="s">
        <v>376</v>
      </c>
      <c r="C237" s="59">
        <v>1.0</v>
      </c>
      <c r="D237" s="60"/>
      <c r="E237" s="60"/>
      <c r="F237" s="61"/>
      <c r="G237" s="57">
        <f t="shared" si="2"/>
        <v>2</v>
      </c>
      <c r="H237" s="57" t="b">
        <v>1</v>
      </c>
      <c r="I237" s="57" t="b">
        <v>1</v>
      </c>
      <c r="J237" s="6"/>
      <c r="K237" s="13"/>
      <c r="L237" s="13"/>
    </row>
    <row r="238">
      <c r="A238" s="56">
        <v>45798.0</v>
      </c>
      <c r="B238" s="57" t="s">
        <v>25</v>
      </c>
      <c r="C238" s="58"/>
      <c r="D238" s="59">
        <v>2.0</v>
      </c>
      <c r="E238" s="60"/>
      <c r="F238" s="57">
        <v>1.0</v>
      </c>
      <c r="G238" s="57">
        <f t="shared" si="2"/>
        <v>3</v>
      </c>
      <c r="H238" s="57" t="b">
        <v>1</v>
      </c>
      <c r="I238" s="57" t="b">
        <v>1</v>
      </c>
      <c r="J238" s="6"/>
      <c r="K238" s="13"/>
      <c r="L238" s="13"/>
    </row>
    <row r="239">
      <c r="A239" s="56">
        <v>45798.0</v>
      </c>
      <c r="B239" s="57" t="s">
        <v>379</v>
      </c>
      <c r="C239" s="58"/>
      <c r="D239" s="60"/>
      <c r="E239" s="60"/>
      <c r="F239" s="57">
        <v>1.0</v>
      </c>
      <c r="G239" s="57">
        <f t="shared" si="2"/>
        <v>1</v>
      </c>
      <c r="H239" s="57" t="b">
        <v>1</v>
      </c>
      <c r="I239" s="57" t="b">
        <v>1</v>
      </c>
      <c r="J239" s="6"/>
      <c r="K239" s="13"/>
      <c r="L239" s="13"/>
    </row>
    <row r="240">
      <c r="A240" s="56">
        <v>45798.0</v>
      </c>
      <c r="B240" s="57" t="s">
        <v>223</v>
      </c>
      <c r="C240" s="58"/>
      <c r="D240" s="60"/>
      <c r="E240" s="60"/>
      <c r="F240" s="57">
        <v>1.0</v>
      </c>
      <c r="G240" s="57">
        <f t="shared" si="2"/>
        <v>1</v>
      </c>
      <c r="H240" s="57" t="b">
        <v>1</v>
      </c>
      <c r="I240" s="57" t="b">
        <v>1</v>
      </c>
      <c r="J240" s="6"/>
      <c r="K240" s="13"/>
      <c r="L240" s="13"/>
    </row>
    <row r="241">
      <c r="A241" s="56">
        <v>45798.0</v>
      </c>
      <c r="B241" s="57" t="s">
        <v>381</v>
      </c>
      <c r="C241" s="58"/>
      <c r="D241" s="60"/>
      <c r="E241" s="60"/>
      <c r="F241" s="57">
        <v>4.0</v>
      </c>
      <c r="G241" s="57">
        <f t="shared" si="2"/>
        <v>4</v>
      </c>
      <c r="H241" s="57" t="b">
        <v>1</v>
      </c>
      <c r="I241" s="57" t="b">
        <v>1</v>
      </c>
      <c r="J241" s="6"/>
      <c r="K241" s="13"/>
      <c r="L241" s="13"/>
    </row>
    <row r="242">
      <c r="A242" s="56">
        <v>45798.0</v>
      </c>
      <c r="B242" s="57" t="s">
        <v>214</v>
      </c>
      <c r="C242" s="58"/>
      <c r="D242" s="60"/>
      <c r="E242" s="59">
        <v>1.0</v>
      </c>
      <c r="F242" s="61"/>
      <c r="G242" s="57">
        <f t="shared" si="2"/>
        <v>1</v>
      </c>
      <c r="H242" s="57" t="b">
        <v>1</v>
      </c>
      <c r="I242" s="57" t="b">
        <v>1</v>
      </c>
      <c r="J242" s="6"/>
      <c r="K242" s="13"/>
      <c r="L242" s="13"/>
    </row>
    <row r="243">
      <c r="A243" s="56">
        <v>45798.0</v>
      </c>
      <c r="B243" s="57" t="s">
        <v>385</v>
      </c>
      <c r="C243" s="58"/>
      <c r="D243" s="59">
        <v>1.0</v>
      </c>
      <c r="E243" s="60"/>
      <c r="F243" s="61"/>
      <c r="G243" s="57">
        <f t="shared" si="2"/>
        <v>1</v>
      </c>
      <c r="H243" s="57" t="b">
        <v>1</v>
      </c>
      <c r="I243" s="57" t="b">
        <v>1</v>
      </c>
      <c r="J243" s="6"/>
      <c r="K243" s="13"/>
      <c r="L243" s="13"/>
    </row>
    <row r="244">
      <c r="A244" s="56">
        <v>45798.0</v>
      </c>
      <c r="B244" s="57" t="s">
        <v>386</v>
      </c>
      <c r="C244" s="58"/>
      <c r="D244" s="59">
        <v>1.0</v>
      </c>
      <c r="E244" s="60"/>
      <c r="F244" s="61"/>
      <c r="G244" s="57">
        <f t="shared" si="2"/>
        <v>1</v>
      </c>
      <c r="H244" s="57" t="b">
        <v>1</v>
      </c>
      <c r="I244" s="57" t="b">
        <v>1</v>
      </c>
      <c r="J244" s="6"/>
      <c r="K244" s="13"/>
      <c r="L244" s="13"/>
    </row>
    <row r="245">
      <c r="A245" s="56">
        <v>45798.0</v>
      </c>
      <c r="B245" s="57" t="s">
        <v>317</v>
      </c>
      <c r="C245" s="58"/>
      <c r="D245" s="59">
        <v>1.0</v>
      </c>
      <c r="E245" s="60"/>
      <c r="F245" s="61"/>
      <c r="G245" s="57">
        <f t="shared" si="2"/>
        <v>1</v>
      </c>
      <c r="H245" s="57" t="b">
        <v>1</v>
      </c>
      <c r="I245" s="57" t="b">
        <v>1</v>
      </c>
      <c r="J245" s="6"/>
      <c r="K245" s="13"/>
      <c r="L245" s="13"/>
    </row>
    <row r="246">
      <c r="A246" s="56">
        <v>45798.0</v>
      </c>
      <c r="B246" s="57" t="s">
        <v>379</v>
      </c>
      <c r="C246" s="58"/>
      <c r="D246" s="60"/>
      <c r="E246" s="59">
        <v>2.0</v>
      </c>
      <c r="F246" s="61"/>
      <c r="G246" s="57">
        <f t="shared" si="2"/>
        <v>2</v>
      </c>
      <c r="H246" s="57" t="b">
        <v>1</v>
      </c>
      <c r="I246" s="57" t="b">
        <v>1</v>
      </c>
      <c r="J246" s="6"/>
      <c r="K246" s="13"/>
      <c r="L246" s="13"/>
    </row>
    <row r="247">
      <c r="A247" s="56">
        <v>45798.0</v>
      </c>
      <c r="B247" s="57" t="s">
        <v>390</v>
      </c>
      <c r="C247" s="58"/>
      <c r="D247" s="60"/>
      <c r="E247" s="60"/>
      <c r="F247" s="57">
        <v>1.0</v>
      </c>
      <c r="G247" s="57">
        <f t="shared" si="2"/>
        <v>1</v>
      </c>
      <c r="H247" s="57" t="b">
        <v>1</v>
      </c>
      <c r="I247" s="57" t="b">
        <v>1</v>
      </c>
      <c r="J247" s="6"/>
      <c r="K247" s="13"/>
      <c r="L247" s="13"/>
    </row>
    <row r="248">
      <c r="A248" s="56">
        <v>45798.0</v>
      </c>
      <c r="B248" s="57" t="s">
        <v>392</v>
      </c>
      <c r="C248" s="58"/>
      <c r="D248" s="60"/>
      <c r="E248" s="60"/>
      <c r="F248" s="57">
        <v>1.0</v>
      </c>
      <c r="G248" s="57">
        <f t="shared" si="2"/>
        <v>1</v>
      </c>
      <c r="H248" s="57" t="b">
        <v>1</v>
      </c>
      <c r="I248" s="57" t="b">
        <v>1</v>
      </c>
      <c r="J248" s="6"/>
      <c r="K248" s="13"/>
      <c r="L248" s="13"/>
    </row>
    <row r="249">
      <c r="A249" s="56">
        <v>45798.0</v>
      </c>
      <c r="B249" s="57" t="s">
        <v>392</v>
      </c>
      <c r="C249" s="59">
        <v>1.0</v>
      </c>
      <c r="D249" s="60"/>
      <c r="E249" s="60"/>
      <c r="F249" s="61"/>
      <c r="G249" s="57">
        <f t="shared" si="2"/>
        <v>2</v>
      </c>
      <c r="H249" s="57" t="b">
        <v>1</v>
      </c>
      <c r="I249" s="57" t="b">
        <v>1</v>
      </c>
      <c r="J249" s="6"/>
      <c r="K249" s="13"/>
      <c r="L249" s="13"/>
    </row>
    <row r="250">
      <c r="A250" s="56">
        <v>45798.0</v>
      </c>
      <c r="B250" s="57" t="s">
        <v>394</v>
      </c>
      <c r="C250" s="58"/>
      <c r="D250" s="59">
        <v>2.0</v>
      </c>
      <c r="E250" s="60"/>
      <c r="F250" s="57">
        <v>2.0</v>
      </c>
      <c r="G250" s="57">
        <f t="shared" si="2"/>
        <v>4</v>
      </c>
      <c r="H250" s="57" t="b">
        <v>1</v>
      </c>
      <c r="I250" s="57" t="b">
        <v>1</v>
      </c>
      <c r="J250" s="6"/>
      <c r="K250" s="13"/>
      <c r="L250" s="13"/>
    </row>
    <row r="251">
      <c r="A251" s="56">
        <v>45798.0</v>
      </c>
      <c r="B251" s="57" t="s">
        <v>395</v>
      </c>
      <c r="C251" s="58"/>
      <c r="D251" s="59">
        <v>1.0</v>
      </c>
      <c r="E251" s="60"/>
      <c r="F251" s="61"/>
      <c r="G251" s="57">
        <f t="shared" si="2"/>
        <v>1</v>
      </c>
      <c r="H251" s="57" t="b">
        <v>1</v>
      </c>
      <c r="I251" s="57" t="b">
        <v>1</v>
      </c>
      <c r="J251" s="6"/>
      <c r="K251" s="13"/>
      <c r="L251" s="13"/>
    </row>
    <row r="252">
      <c r="A252" s="56">
        <v>45798.0</v>
      </c>
      <c r="B252" s="57" t="s">
        <v>25</v>
      </c>
      <c r="C252" s="58"/>
      <c r="D252" s="60"/>
      <c r="E252" s="59">
        <v>1.0</v>
      </c>
      <c r="F252" s="61"/>
      <c r="G252" s="57">
        <f t="shared" si="2"/>
        <v>1</v>
      </c>
      <c r="H252" s="57" t="b">
        <v>1</v>
      </c>
      <c r="I252" s="57" t="b">
        <v>1</v>
      </c>
      <c r="J252" s="6"/>
      <c r="K252" s="13"/>
      <c r="L252" s="13"/>
    </row>
    <row r="253">
      <c r="A253" s="56">
        <v>45798.0</v>
      </c>
      <c r="B253" s="57" t="s">
        <v>396</v>
      </c>
      <c r="C253" s="58"/>
      <c r="D253" s="59">
        <v>20.0</v>
      </c>
      <c r="E253" s="60"/>
      <c r="F253" s="61"/>
      <c r="G253" s="57">
        <f t="shared" si="2"/>
        <v>20</v>
      </c>
      <c r="H253" s="57" t="b">
        <v>1</v>
      </c>
      <c r="I253" s="57" t="b">
        <v>1</v>
      </c>
      <c r="J253" s="6"/>
      <c r="K253" s="13"/>
      <c r="L253" s="13"/>
    </row>
    <row r="254">
      <c r="A254" s="56">
        <v>45798.0</v>
      </c>
      <c r="B254" s="57" t="s">
        <v>235</v>
      </c>
      <c r="C254" s="58"/>
      <c r="D254" s="60"/>
      <c r="E254" s="60"/>
      <c r="F254" s="57">
        <v>1.0</v>
      </c>
      <c r="G254" s="57">
        <f t="shared" si="2"/>
        <v>1</v>
      </c>
      <c r="H254" s="57" t="b">
        <v>1</v>
      </c>
      <c r="I254" s="57" t="b">
        <v>1</v>
      </c>
      <c r="J254" s="6"/>
      <c r="K254" s="13"/>
      <c r="L254" s="13"/>
    </row>
    <row r="255">
      <c r="A255" s="56">
        <v>45798.0</v>
      </c>
      <c r="B255" s="57" t="s">
        <v>22</v>
      </c>
      <c r="C255" s="58"/>
      <c r="D255" s="60"/>
      <c r="E255" s="60"/>
      <c r="F255" s="57">
        <v>2.0</v>
      </c>
      <c r="G255" s="57">
        <f t="shared" si="2"/>
        <v>2</v>
      </c>
      <c r="H255" s="57" t="b">
        <v>1</v>
      </c>
      <c r="I255" s="57" t="b">
        <v>1</v>
      </c>
      <c r="J255" s="6"/>
      <c r="K255" s="13"/>
      <c r="L255" s="13"/>
    </row>
    <row r="256">
      <c r="A256" s="56">
        <v>45797.0</v>
      </c>
      <c r="B256" s="57" t="s">
        <v>214</v>
      </c>
      <c r="C256" s="59">
        <v>1.0</v>
      </c>
      <c r="D256" s="60"/>
      <c r="E256" s="60"/>
      <c r="F256" s="61"/>
      <c r="G256" s="57">
        <f t="shared" si="2"/>
        <v>2</v>
      </c>
      <c r="H256" s="57" t="b">
        <v>1</v>
      </c>
      <c r="I256" s="57" t="b">
        <v>1</v>
      </c>
      <c r="J256" s="6"/>
      <c r="K256" s="13"/>
      <c r="L256" s="13"/>
    </row>
    <row r="257">
      <c r="A257" s="56">
        <v>45797.0</v>
      </c>
      <c r="B257" s="57" t="s">
        <v>29</v>
      </c>
      <c r="C257" s="58"/>
      <c r="D257" s="59">
        <v>1.0</v>
      </c>
      <c r="E257" s="60"/>
      <c r="F257" s="61"/>
      <c r="G257" s="57">
        <f t="shared" si="2"/>
        <v>1</v>
      </c>
      <c r="H257" s="57" t="b">
        <v>1</v>
      </c>
      <c r="I257" s="57" t="b">
        <v>1</v>
      </c>
      <c r="J257" s="6"/>
      <c r="K257" s="13"/>
      <c r="L257" s="13"/>
    </row>
    <row r="258">
      <c r="A258" s="56">
        <v>45797.0</v>
      </c>
      <c r="B258" s="57" t="s">
        <v>176</v>
      </c>
      <c r="C258" s="58"/>
      <c r="D258" s="59">
        <v>1.0</v>
      </c>
      <c r="E258" s="60"/>
      <c r="F258" s="61"/>
      <c r="G258" s="57">
        <f t="shared" si="2"/>
        <v>1</v>
      </c>
      <c r="H258" s="57" t="b">
        <v>1</v>
      </c>
      <c r="I258" s="57" t="b">
        <v>1</v>
      </c>
      <c r="J258" s="6"/>
      <c r="K258" s="13"/>
      <c r="L258" s="13"/>
    </row>
    <row r="259">
      <c r="A259" s="56">
        <v>45797.0</v>
      </c>
      <c r="B259" s="57" t="s">
        <v>398</v>
      </c>
      <c r="C259" s="59">
        <v>3.0</v>
      </c>
      <c r="D259" s="60"/>
      <c r="E259" s="60"/>
      <c r="F259" s="61"/>
      <c r="G259" s="57">
        <f t="shared" si="2"/>
        <v>6</v>
      </c>
      <c r="H259" s="57" t="b">
        <v>1</v>
      </c>
      <c r="I259" s="57" t="b">
        <v>1</v>
      </c>
      <c r="J259" s="6"/>
      <c r="K259" s="13"/>
      <c r="L259" s="13"/>
    </row>
    <row r="260">
      <c r="A260" s="56">
        <v>45797.0</v>
      </c>
      <c r="B260" s="57" t="s">
        <v>399</v>
      </c>
      <c r="C260" s="59">
        <v>2.0</v>
      </c>
      <c r="D260" s="60"/>
      <c r="E260" s="59">
        <v>1.0</v>
      </c>
      <c r="F260" s="61"/>
      <c r="G260" s="57">
        <f t="shared" si="2"/>
        <v>5</v>
      </c>
      <c r="H260" s="57" t="b">
        <v>1</v>
      </c>
      <c r="I260" s="57" t="b">
        <v>1</v>
      </c>
      <c r="J260" s="6"/>
      <c r="K260" s="13"/>
      <c r="L260" s="13"/>
    </row>
    <row r="261">
      <c r="A261" s="56">
        <v>45797.0</v>
      </c>
      <c r="B261" s="57" t="s">
        <v>400</v>
      </c>
      <c r="C261" s="58"/>
      <c r="D261" s="60"/>
      <c r="E261" s="59">
        <v>1.0</v>
      </c>
      <c r="F261" s="57">
        <v>1.0</v>
      </c>
      <c r="G261" s="57">
        <f t="shared" si="2"/>
        <v>2</v>
      </c>
      <c r="H261" s="57" t="b">
        <v>1</v>
      </c>
      <c r="I261" s="57" t="b">
        <v>1</v>
      </c>
      <c r="J261" s="6"/>
      <c r="K261" s="13"/>
      <c r="L261" s="13"/>
    </row>
    <row r="262">
      <c r="A262" s="56">
        <v>45797.0</v>
      </c>
      <c r="B262" s="57" t="s">
        <v>401</v>
      </c>
      <c r="C262" s="59">
        <v>1.0</v>
      </c>
      <c r="D262" s="60"/>
      <c r="E262" s="60"/>
      <c r="F262" s="61"/>
      <c r="G262" s="57">
        <f t="shared" si="2"/>
        <v>2</v>
      </c>
      <c r="H262" s="57" t="b">
        <v>1</v>
      </c>
      <c r="I262" s="57" t="b">
        <v>1</v>
      </c>
      <c r="J262" s="6"/>
      <c r="K262" s="13"/>
      <c r="L262" s="13"/>
    </row>
    <row r="263">
      <c r="A263" s="56">
        <v>45797.0</v>
      </c>
      <c r="B263" s="57" t="s">
        <v>402</v>
      </c>
      <c r="C263" s="58"/>
      <c r="D263" s="60"/>
      <c r="E263" s="59">
        <v>1.0</v>
      </c>
      <c r="F263" s="61"/>
      <c r="G263" s="57">
        <f t="shared" si="2"/>
        <v>1</v>
      </c>
      <c r="H263" s="57" t="b">
        <v>1</v>
      </c>
      <c r="I263" s="57" t="b">
        <v>1</v>
      </c>
      <c r="J263" s="6"/>
      <c r="K263" s="13"/>
      <c r="L263" s="13"/>
    </row>
    <row r="264">
      <c r="A264" s="56">
        <v>45797.0</v>
      </c>
      <c r="B264" s="57" t="s">
        <v>302</v>
      </c>
      <c r="C264" s="58"/>
      <c r="D264" s="60"/>
      <c r="E264" s="60"/>
      <c r="F264" s="57">
        <v>1.0</v>
      </c>
      <c r="G264" s="57">
        <f t="shared" si="2"/>
        <v>1</v>
      </c>
      <c r="H264" s="57" t="b">
        <v>1</v>
      </c>
      <c r="I264" s="57" t="b">
        <v>1</v>
      </c>
      <c r="J264" s="6"/>
      <c r="K264" s="13"/>
      <c r="L264" s="13"/>
    </row>
    <row r="265">
      <c r="A265" s="56">
        <v>45797.0</v>
      </c>
      <c r="B265" s="57" t="s">
        <v>186</v>
      </c>
      <c r="C265" s="58"/>
      <c r="D265" s="60"/>
      <c r="E265" s="60"/>
      <c r="F265" s="57">
        <v>5.0</v>
      </c>
      <c r="G265" s="57">
        <f t="shared" si="2"/>
        <v>5</v>
      </c>
      <c r="H265" s="57" t="b">
        <v>1</v>
      </c>
      <c r="I265" s="57" t="b">
        <v>1</v>
      </c>
      <c r="J265" s="6"/>
      <c r="K265" s="13"/>
      <c r="L265" s="13"/>
    </row>
    <row r="266">
      <c r="A266" s="56">
        <v>45797.0</v>
      </c>
      <c r="B266" s="57" t="s">
        <v>317</v>
      </c>
      <c r="C266" s="58"/>
      <c r="D266" s="60"/>
      <c r="E266" s="60"/>
      <c r="F266" s="57">
        <v>2.0</v>
      </c>
      <c r="G266" s="57">
        <f t="shared" si="2"/>
        <v>2</v>
      </c>
      <c r="H266" s="57" t="b">
        <v>1</v>
      </c>
      <c r="I266" s="57" t="b">
        <v>1</v>
      </c>
      <c r="J266" s="6"/>
      <c r="K266" s="13"/>
      <c r="L266" s="13"/>
    </row>
    <row r="267">
      <c r="A267" s="56">
        <v>45797.0</v>
      </c>
      <c r="B267" s="57" t="s">
        <v>32</v>
      </c>
      <c r="C267" s="58"/>
      <c r="D267" s="60"/>
      <c r="E267" s="60"/>
      <c r="F267" s="57">
        <v>1.0</v>
      </c>
      <c r="G267" s="57">
        <f t="shared" si="2"/>
        <v>1</v>
      </c>
      <c r="H267" s="57" t="b">
        <v>1</v>
      </c>
      <c r="I267" s="57" t="b">
        <v>1</v>
      </c>
      <c r="J267" s="6"/>
      <c r="K267" s="13"/>
      <c r="L267" s="13"/>
    </row>
    <row r="268">
      <c r="A268" s="56">
        <v>45797.0</v>
      </c>
      <c r="B268" s="57" t="s">
        <v>403</v>
      </c>
      <c r="C268" s="59">
        <v>1.0</v>
      </c>
      <c r="D268" s="60"/>
      <c r="E268" s="60"/>
      <c r="F268" s="61"/>
      <c r="G268" s="57">
        <f t="shared" si="2"/>
        <v>2</v>
      </c>
      <c r="H268" s="57" t="b">
        <v>1</v>
      </c>
      <c r="I268" s="57" t="b">
        <v>1</v>
      </c>
      <c r="J268" s="6"/>
      <c r="K268" s="13"/>
      <c r="L268" s="13"/>
    </row>
    <row r="269">
      <c r="A269" s="56">
        <v>45797.0</v>
      </c>
      <c r="B269" s="57" t="s">
        <v>404</v>
      </c>
      <c r="C269" s="59">
        <v>1.0</v>
      </c>
      <c r="D269" s="60"/>
      <c r="E269" s="60"/>
      <c r="F269" s="61"/>
      <c r="G269" s="57">
        <f t="shared" si="2"/>
        <v>2</v>
      </c>
      <c r="H269" s="57" t="b">
        <v>1</v>
      </c>
      <c r="I269" s="57" t="b">
        <v>1</v>
      </c>
      <c r="J269" s="6"/>
      <c r="K269" s="13"/>
      <c r="L269" s="13"/>
    </row>
    <row r="270">
      <c r="A270" s="56">
        <v>45797.0</v>
      </c>
      <c r="B270" s="57" t="s">
        <v>94</v>
      </c>
      <c r="C270" s="58"/>
      <c r="D270" s="59">
        <v>1.0</v>
      </c>
      <c r="E270" s="60"/>
      <c r="F270" s="61"/>
      <c r="G270" s="57">
        <f t="shared" si="2"/>
        <v>1</v>
      </c>
      <c r="H270" s="57" t="b">
        <v>1</v>
      </c>
      <c r="I270" s="57" t="b">
        <v>1</v>
      </c>
      <c r="J270" s="6"/>
      <c r="K270" s="13"/>
      <c r="L270" s="13"/>
    </row>
    <row r="271">
      <c r="A271" s="56">
        <v>45797.0</v>
      </c>
      <c r="B271" s="57" t="s">
        <v>405</v>
      </c>
      <c r="C271" s="58"/>
      <c r="D271" s="60"/>
      <c r="E271" s="60"/>
      <c r="F271" s="57">
        <v>8.0</v>
      </c>
      <c r="G271" s="57">
        <f t="shared" si="2"/>
        <v>8</v>
      </c>
      <c r="H271" s="57" t="b">
        <v>1</v>
      </c>
      <c r="I271" s="57" t="b">
        <v>1</v>
      </c>
      <c r="J271" s="6"/>
      <c r="K271" s="13"/>
      <c r="L271" s="13"/>
    </row>
    <row r="272">
      <c r="A272" s="56">
        <v>45797.0</v>
      </c>
      <c r="B272" s="57" t="s">
        <v>406</v>
      </c>
      <c r="C272" s="59">
        <v>1.0</v>
      </c>
      <c r="D272" s="60"/>
      <c r="E272" s="60"/>
      <c r="F272" s="61"/>
      <c r="G272" s="57">
        <f t="shared" si="2"/>
        <v>2</v>
      </c>
      <c r="H272" s="57" t="b">
        <v>1</v>
      </c>
      <c r="I272" s="57" t="b">
        <v>1</v>
      </c>
      <c r="J272" s="6"/>
      <c r="K272" s="13"/>
      <c r="L272" s="13"/>
    </row>
    <row r="273">
      <c r="A273" s="56">
        <v>45797.0</v>
      </c>
      <c r="B273" s="57" t="s">
        <v>407</v>
      </c>
      <c r="C273" s="58"/>
      <c r="D273" s="59">
        <v>3.0</v>
      </c>
      <c r="E273" s="60"/>
      <c r="F273" s="61"/>
      <c r="G273" s="57">
        <f t="shared" si="2"/>
        <v>3</v>
      </c>
      <c r="H273" s="57" t="b">
        <v>1</v>
      </c>
      <c r="I273" s="57" t="b">
        <v>1</v>
      </c>
      <c r="J273" s="6"/>
      <c r="K273" s="13"/>
      <c r="L273" s="13"/>
    </row>
    <row r="274">
      <c r="A274" s="56">
        <v>45797.0</v>
      </c>
      <c r="B274" s="57" t="s">
        <v>227</v>
      </c>
      <c r="C274" s="58"/>
      <c r="D274" s="59">
        <v>1.0</v>
      </c>
      <c r="E274" s="60"/>
      <c r="F274" s="61"/>
      <c r="G274" s="57">
        <f t="shared" si="2"/>
        <v>1</v>
      </c>
      <c r="H274" s="57" t="b">
        <v>1</v>
      </c>
      <c r="I274" s="57" t="b">
        <v>1</v>
      </c>
      <c r="J274" s="6"/>
      <c r="K274" s="13"/>
      <c r="L274" s="13"/>
    </row>
    <row r="275">
      <c r="A275" s="56">
        <v>45797.0</v>
      </c>
      <c r="B275" s="57" t="s">
        <v>227</v>
      </c>
      <c r="C275" s="58"/>
      <c r="D275" s="59">
        <v>1.0</v>
      </c>
      <c r="E275" s="60"/>
      <c r="F275" s="61"/>
      <c r="G275" s="57">
        <f t="shared" si="2"/>
        <v>1</v>
      </c>
      <c r="H275" s="57" t="b">
        <v>1</v>
      </c>
      <c r="I275" s="57" t="b">
        <v>1</v>
      </c>
      <c r="J275" s="6"/>
      <c r="K275" s="13"/>
      <c r="L275" s="13"/>
    </row>
    <row r="276">
      <c r="A276" s="56">
        <v>45797.0</v>
      </c>
      <c r="B276" s="57" t="s">
        <v>408</v>
      </c>
      <c r="C276" s="58"/>
      <c r="D276" s="59">
        <v>1.0</v>
      </c>
      <c r="E276" s="60"/>
      <c r="F276" s="61"/>
      <c r="G276" s="57">
        <f t="shared" si="2"/>
        <v>1</v>
      </c>
      <c r="H276" s="57" t="b">
        <v>1</v>
      </c>
      <c r="I276" s="57" t="b">
        <v>1</v>
      </c>
      <c r="J276" s="6"/>
      <c r="K276" s="13"/>
      <c r="L276" s="13"/>
    </row>
    <row r="277">
      <c r="A277" s="56">
        <v>45797.0</v>
      </c>
      <c r="B277" s="57" t="s">
        <v>57</v>
      </c>
      <c r="C277" s="58"/>
      <c r="D277" s="59">
        <v>3.0</v>
      </c>
      <c r="E277" s="60"/>
      <c r="F277" s="61"/>
      <c r="G277" s="57">
        <f t="shared" si="2"/>
        <v>3</v>
      </c>
      <c r="H277" s="57" t="b">
        <v>1</v>
      </c>
      <c r="I277" s="57" t="b">
        <v>1</v>
      </c>
      <c r="J277" s="6"/>
      <c r="K277" s="13"/>
      <c r="L277" s="13"/>
    </row>
    <row r="278">
      <c r="A278" s="56">
        <v>45797.0</v>
      </c>
      <c r="B278" s="57" t="s">
        <v>409</v>
      </c>
      <c r="C278" s="58"/>
      <c r="D278" s="59">
        <v>1.0</v>
      </c>
      <c r="E278" s="60"/>
      <c r="F278" s="61"/>
      <c r="G278" s="57">
        <f t="shared" si="2"/>
        <v>1</v>
      </c>
      <c r="H278" s="57" t="b">
        <v>1</v>
      </c>
      <c r="I278" s="57" t="b">
        <v>1</v>
      </c>
      <c r="J278" s="6"/>
      <c r="K278" s="13"/>
      <c r="L278" s="13"/>
    </row>
    <row r="279">
      <c r="A279" s="56">
        <v>45797.0</v>
      </c>
      <c r="B279" s="57" t="s">
        <v>62</v>
      </c>
      <c r="C279" s="58"/>
      <c r="D279" s="59">
        <v>1.0</v>
      </c>
      <c r="E279" s="60"/>
      <c r="F279" s="61"/>
      <c r="G279" s="57">
        <f t="shared" si="2"/>
        <v>1</v>
      </c>
      <c r="H279" s="57" t="b">
        <v>1</v>
      </c>
      <c r="I279" s="57" t="b">
        <v>1</v>
      </c>
      <c r="J279" s="6"/>
      <c r="K279" s="13"/>
      <c r="L279" s="13"/>
    </row>
    <row r="280">
      <c r="A280" s="56">
        <v>45797.0</v>
      </c>
      <c r="B280" s="57" t="s">
        <v>402</v>
      </c>
      <c r="C280" s="58"/>
      <c r="D280" s="59">
        <v>1.0</v>
      </c>
      <c r="E280" s="60"/>
      <c r="F280" s="61"/>
      <c r="G280" s="57">
        <f t="shared" si="2"/>
        <v>1</v>
      </c>
      <c r="H280" s="57" t="b">
        <v>1</v>
      </c>
      <c r="I280" s="57" t="b">
        <v>1</v>
      </c>
      <c r="J280" s="6"/>
      <c r="K280" s="13"/>
      <c r="L280" s="13"/>
    </row>
    <row r="281">
      <c r="A281" s="56">
        <v>45797.0</v>
      </c>
      <c r="B281" s="57" t="s">
        <v>22</v>
      </c>
      <c r="C281" s="59">
        <v>1.0</v>
      </c>
      <c r="D281" s="59">
        <v>1.0</v>
      </c>
      <c r="E281" s="60"/>
      <c r="F281" s="61"/>
      <c r="G281" s="57">
        <f t="shared" si="2"/>
        <v>3</v>
      </c>
      <c r="H281" s="57" t="b">
        <v>1</v>
      </c>
      <c r="I281" s="57" t="b">
        <v>1</v>
      </c>
      <c r="J281" s="6"/>
      <c r="K281" s="13"/>
      <c r="L281" s="13"/>
    </row>
    <row r="282">
      <c r="A282" s="56">
        <v>45797.0</v>
      </c>
      <c r="B282" s="57" t="s">
        <v>37</v>
      </c>
      <c r="C282" s="58"/>
      <c r="D282" s="60"/>
      <c r="E282" s="59">
        <v>1.0</v>
      </c>
      <c r="F282" s="61"/>
      <c r="G282" s="57">
        <f t="shared" si="2"/>
        <v>1</v>
      </c>
      <c r="H282" s="57" t="b">
        <v>1</v>
      </c>
      <c r="I282" s="57" t="b">
        <v>1</v>
      </c>
      <c r="J282" s="6"/>
      <c r="K282" s="13"/>
      <c r="L282" s="13"/>
    </row>
    <row r="283">
      <c r="A283" s="56">
        <v>45797.0</v>
      </c>
      <c r="B283" s="57" t="s">
        <v>103</v>
      </c>
      <c r="C283" s="58"/>
      <c r="D283" s="60"/>
      <c r="E283" s="60"/>
      <c r="F283" s="57">
        <v>1.0</v>
      </c>
      <c r="G283" s="57">
        <f t="shared" si="2"/>
        <v>1</v>
      </c>
      <c r="H283" s="57" t="b">
        <v>1</v>
      </c>
      <c r="I283" s="57" t="b">
        <v>1</v>
      </c>
      <c r="J283" s="6"/>
      <c r="K283" s="13"/>
      <c r="L283" s="13"/>
    </row>
    <row r="284">
      <c r="A284" s="56">
        <v>45797.0</v>
      </c>
      <c r="B284" s="57" t="s">
        <v>410</v>
      </c>
      <c r="C284" s="58"/>
      <c r="D284" s="59">
        <v>1.0</v>
      </c>
      <c r="E284" s="60"/>
      <c r="F284" s="61"/>
      <c r="G284" s="57">
        <f t="shared" si="2"/>
        <v>1</v>
      </c>
      <c r="H284" s="57" t="b">
        <v>1</v>
      </c>
      <c r="I284" s="57" t="b">
        <v>1</v>
      </c>
      <c r="J284" s="6"/>
      <c r="K284" s="13"/>
      <c r="L284" s="13"/>
    </row>
    <row r="285">
      <c r="A285" s="56">
        <v>45797.0</v>
      </c>
      <c r="B285" s="57" t="s">
        <v>70</v>
      </c>
      <c r="C285" s="59">
        <v>1.0</v>
      </c>
      <c r="D285" s="60"/>
      <c r="E285" s="60"/>
      <c r="F285" s="61"/>
      <c r="G285" s="57">
        <f t="shared" si="2"/>
        <v>2</v>
      </c>
      <c r="H285" s="57" t="b">
        <v>1</v>
      </c>
      <c r="I285" s="57" t="b">
        <v>1</v>
      </c>
      <c r="J285" s="6"/>
      <c r="K285" s="13"/>
      <c r="L285" s="13"/>
    </row>
    <row r="286">
      <c r="A286" s="56">
        <v>45797.0</v>
      </c>
      <c r="B286" s="57" t="s">
        <v>311</v>
      </c>
      <c r="C286" s="58"/>
      <c r="D286" s="60"/>
      <c r="E286" s="60"/>
      <c r="F286" s="57">
        <v>1.0</v>
      </c>
      <c r="G286" s="57">
        <f t="shared" si="2"/>
        <v>1</v>
      </c>
      <c r="H286" s="57" t="b">
        <v>1</v>
      </c>
      <c r="I286" s="57" t="b">
        <v>1</v>
      </c>
      <c r="J286" s="6"/>
      <c r="K286" s="13"/>
      <c r="L286" s="13"/>
    </row>
    <row r="287">
      <c r="A287" s="56">
        <v>45797.0</v>
      </c>
      <c r="B287" s="57" t="s">
        <v>38</v>
      </c>
      <c r="C287" s="59">
        <v>1.0</v>
      </c>
      <c r="D287" s="60"/>
      <c r="E287" s="60"/>
      <c r="F287" s="61"/>
      <c r="G287" s="57">
        <f t="shared" si="2"/>
        <v>2</v>
      </c>
      <c r="H287" s="57" t="b">
        <v>1</v>
      </c>
      <c r="I287" s="57" t="b">
        <v>1</v>
      </c>
      <c r="J287" s="6"/>
      <c r="K287" s="13"/>
      <c r="L287" s="13"/>
    </row>
    <row r="288">
      <c r="A288" s="56">
        <v>45797.0</v>
      </c>
      <c r="B288" s="57" t="s">
        <v>411</v>
      </c>
      <c r="C288" s="59">
        <v>2.0</v>
      </c>
      <c r="D288" s="60"/>
      <c r="E288" s="60"/>
      <c r="F288" s="57">
        <v>1.0</v>
      </c>
      <c r="G288" s="57">
        <f t="shared" si="2"/>
        <v>5</v>
      </c>
      <c r="H288" s="57" t="b">
        <v>1</v>
      </c>
      <c r="I288" s="57" t="b">
        <v>1</v>
      </c>
      <c r="J288" s="6"/>
      <c r="K288" s="13"/>
      <c r="L288" s="13"/>
    </row>
    <row r="289">
      <c r="A289" s="56">
        <v>45797.0</v>
      </c>
      <c r="B289" s="57" t="s">
        <v>196</v>
      </c>
      <c r="C289" s="59">
        <v>1.0</v>
      </c>
      <c r="D289" s="60"/>
      <c r="E289" s="60"/>
      <c r="F289" s="61"/>
      <c r="G289" s="57">
        <f t="shared" si="2"/>
        <v>2</v>
      </c>
      <c r="H289" s="57" t="b">
        <v>1</v>
      </c>
      <c r="I289" s="57" t="b">
        <v>1</v>
      </c>
      <c r="J289" s="6"/>
      <c r="K289" s="13"/>
      <c r="L289" s="13"/>
    </row>
    <row r="290">
      <c r="A290" s="56">
        <v>45797.0</v>
      </c>
      <c r="B290" s="57" t="s">
        <v>25</v>
      </c>
      <c r="C290" s="59">
        <v>1.0</v>
      </c>
      <c r="D290" s="60"/>
      <c r="E290" s="60"/>
      <c r="F290" s="61"/>
      <c r="G290" s="57">
        <f t="shared" si="2"/>
        <v>2</v>
      </c>
      <c r="H290" s="57" t="b">
        <v>1</v>
      </c>
      <c r="I290" s="57" t="b">
        <v>1</v>
      </c>
      <c r="J290" s="6"/>
      <c r="K290" s="13"/>
      <c r="L290" s="13"/>
    </row>
    <row r="291">
      <c r="A291" s="56">
        <v>45797.0</v>
      </c>
      <c r="B291" s="57" t="s">
        <v>162</v>
      </c>
      <c r="C291" s="58"/>
      <c r="D291" s="59">
        <v>1.0</v>
      </c>
      <c r="E291" s="60"/>
      <c r="F291" s="61"/>
      <c r="G291" s="57">
        <f t="shared" si="2"/>
        <v>1</v>
      </c>
      <c r="H291" s="57" t="b">
        <v>1</v>
      </c>
      <c r="I291" s="57" t="b">
        <v>1</v>
      </c>
      <c r="J291" s="6"/>
      <c r="K291" s="13"/>
      <c r="L291" s="13"/>
    </row>
    <row r="292">
      <c r="A292" s="56">
        <v>45797.0</v>
      </c>
      <c r="B292" s="57" t="s">
        <v>412</v>
      </c>
      <c r="C292" s="58"/>
      <c r="D292" s="59">
        <v>1.0</v>
      </c>
      <c r="E292" s="60"/>
      <c r="F292" s="61"/>
      <c r="G292" s="57">
        <f t="shared" si="2"/>
        <v>1</v>
      </c>
      <c r="H292" s="57" t="b">
        <v>1</v>
      </c>
      <c r="I292" s="57" t="b">
        <v>1</v>
      </c>
      <c r="J292" s="6"/>
      <c r="K292" s="13"/>
      <c r="L292" s="13"/>
    </row>
    <row r="293">
      <c r="A293" s="56">
        <v>45797.0</v>
      </c>
      <c r="B293" s="57" t="s">
        <v>413</v>
      </c>
      <c r="C293" s="58"/>
      <c r="D293" s="59">
        <v>1.0</v>
      </c>
      <c r="E293" s="60"/>
      <c r="F293" s="61"/>
      <c r="G293" s="57">
        <f t="shared" si="2"/>
        <v>1</v>
      </c>
      <c r="H293" s="57" t="b">
        <v>1</v>
      </c>
      <c r="I293" s="57" t="b">
        <v>1</v>
      </c>
      <c r="J293" s="6"/>
      <c r="K293" s="13"/>
      <c r="L293" s="13"/>
    </row>
    <row r="294">
      <c r="A294" s="56">
        <v>45797.0</v>
      </c>
      <c r="B294" s="57" t="s">
        <v>103</v>
      </c>
      <c r="C294" s="58"/>
      <c r="D294" s="59">
        <v>1.0</v>
      </c>
      <c r="E294" s="60"/>
      <c r="F294" s="61"/>
      <c r="G294" s="57">
        <f t="shared" si="2"/>
        <v>1</v>
      </c>
      <c r="H294" s="57" t="b">
        <v>1</v>
      </c>
      <c r="I294" s="57" t="b">
        <v>1</v>
      </c>
      <c r="J294" s="6"/>
      <c r="K294" s="13"/>
      <c r="L294" s="13"/>
    </row>
    <row r="295">
      <c r="A295" s="56">
        <v>45797.0</v>
      </c>
      <c r="B295" s="57" t="s">
        <v>414</v>
      </c>
      <c r="C295" s="59">
        <v>1.0</v>
      </c>
      <c r="D295" s="60"/>
      <c r="E295" s="60"/>
      <c r="F295" s="61"/>
      <c r="G295" s="57">
        <f t="shared" si="2"/>
        <v>2</v>
      </c>
      <c r="H295" s="57" t="b">
        <v>1</v>
      </c>
      <c r="I295" s="57" t="b">
        <v>1</v>
      </c>
      <c r="J295" s="6"/>
      <c r="K295" s="13"/>
      <c r="L295" s="13"/>
    </row>
    <row r="296">
      <c r="A296" s="56">
        <v>45797.0</v>
      </c>
      <c r="B296" s="57" t="s">
        <v>99</v>
      </c>
      <c r="C296" s="58"/>
      <c r="D296" s="59">
        <v>1.0</v>
      </c>
      <c r="E296" s="60"/>
      <c r="F296" s="61"/>
      <c r="G296" s="57">
        <f t="shared" si="2"/>
        <v>1</v>
      </c>
      <c r="H296" s="57" t="b">
        <v>1</v>
      </c>
      <c r="I296" s="57" t="b">
        <v>1</v>
      </c>
      <c r="J296" s="6"/>
      <c r="K296" s="13"/>
      <c r="L296" s="13"/>
    </row>
    <row r="297">
      <c r="A297" s="56">
        <v>45797.0</v>
      </c>
      <c r="B297" s="57" t="s">
        <v>394</v>
      </c>
      <c r="C297" s="58"/>
      <c r="D297" s="59">
        <v>1.0</v>
      </c>
      <c r="E297" s="60"/>
      <c r="F297" s="61"/>
      <c r="G297" s="57">
        <f t="shared" si="2"/>
        <v>1</v>
      </c>
      <c r="H297" s="57" t="b">
        <v>1</v>
      </c>
      <c r="I297" s="57" t="b">
        <v>1</v>
      </c>
      <c r="J297" s="6"/>
      <c r="K297" s="13"/>
      <c r="L297" s="13"/>
    </row>
    <row r="298">
      <c r="A298" s="56">
        <v>45797.0</v>
      </c>
      <c r="B298" s="57" t="s">
        <v>415</v>
      </c>
      <c r="C298" s="58"/>
      <c r="D298" s="59">
        <v>100.0</v>
      </c>
      <c r="E298" s="60"/>
      <c r="F298" s="61"/>
      <c r="G298" s="57">
        <f t="shared" si="2"/>
        <v>100</v>
      </c>
      <c r="H298" s="57" t="b">
        <v>1</v>
      </c>
      <c r="I298" s="57" t="b">
        <v>1</v>
      </c>
      <c r="J298" s="6"/>
      <c r="K298" s="13"/>
      <c r="L298" s="13"/>
    </row>
    <row r="299">
      <c r="A299" s="56">
        <v>45796.0</v>
      </c>
      <c r="B299" s="57" t="s">
        <v>416</v>
      </c>
      <c r="C299" s="58"/>
      <c r="D299" s="60"/>
      <c r="E299" s="59">
        <v>1.0</v>
      </c>
      <c r="F299" s="61"/>
      <c r="G299" s="57">
        <f t="shared" si="2"/>
        <v>1</v>
      </c>
      <c r="H299" s="57" t="b">
        <v>1</v>
      </c>
      <c r="I299" s="57" t="b">
        <v>1</v>
      </c>
      <c r="J299" s="6"/>
      <c r="K299" s="13"/>
      <c r="L299" s="13"/>
    </row>
    <row r="300">
      <c r="A300" s="56">
        <v>45796.0</v>
      </c>
      <c r="B300" s="57" t="s">
        <v>417</v>
      </c>
      <c r="C300" s="58"/>
      <c r="D300" s="59">
        <v>1.0</v>
      </c>
      <c r="E300" s="60"/>
      <c r="F300" s="61"/>
      <c r="G300" s="57">
        <f t="shared" si="2"/>
        <v>1</v>
      </c>
      <c r="H300" s="57" t="b">
        <v>1</v>
      </c>
      <c r="I300" s="57" t="b">
        <v>1</v>
      </c>
      <c r="J300" s="6"/>
      <c r="K300" s="13"/>
      <c r="L300" s="13"/>
    </row>
    <row r="301">
      <c r="A301" s="56">
        <v>45796.0</v>
      </c>
      <c r="B301" s="57" t="s">
        <v>365</v>
      </c>
      <c r="C301" s="58"/>
      <c r="D301" s="59">
        <v>4.0</v>
      </c>
      <c r="E301" s="60"/>
      <c r="F301" s="61"/>
      <c r="G301" s="57">
        <f t="shared" si="2"/>
        <v>4</v>
      </c>
      <c r="H301" s="57" t="b">
        <v>1</v>
      </c>
      <c r="I301" s="57" t="b">
        <v>1</v>
      </c>
      <c r="J301" s="6"/>
      <c r="K301" s="13"/>
      <c r="L301" s="13"/>
    </row>
    <row r="302">
      <c r="A302" s="56">
        <v>45796.0</v>
      </c>
      <c r="B302" s="57" t="s">
        <v>418</v>
      </c>
      <c r="C302" s="59">
        <v>1.0</v>
      </c>
      <c r="D302" s="60"/>
      <c r="E302" s="60"/>
      <c r="F302" s="61"/>
      <c r="G302" s="57">
        <f t="shared" si="2"/>
        <v>2</v>
      </c>
      <c r="H302" s="57" t="b">
        <v>1</v>
      </c>
      <c r="I302" s="57" t="b">
        <v>1</v>
      </c>
      <c r="J302" s="6"/>
      <c r="K302" s="13"/>
      <c r="L302" s="13"/>
    </row>
    <row r="303">
      <c r="A303" s="56">
        <v>45796.0</v>
      </c>
      <c r="B303" s="57" t="s">
        <v>419</v>
      </c>
      <c r="C303" s="59">
        <v>1.0</v>
      </c>
      <c r="D303" s="60"/>
      <c r="E303" s="59">
        <v>1.0</v>
      </c>
      <c r="F303" s="61"/>
      <c r="G303" s="57">
        <f t="shared" si="2"/>
        <v>3</v>
      </c>
      <c r="H303" s="57" t="b">
        <v>1</v>
      </c>
      <c r="I303" s="57" t="b">
        <v>1</v>
      </c>
      <c r="J303" s="6"/>
      <c r="K303" s="13"/>
      <c r="L303" s="13"/>
    </row>
    <row r="304">
      <c r="A304" s="56">
        <v>45796.0</v>
      </c>
      <c r="B304" s="57" t="s">
        <v>366</v>
      </c>
      <c r="C304" s="58"/>
      <c r="D304" s="59">
        <v>1.0</v>
      </c>
      <c r="E304" s="60"/>
      <c r="F304" s="61"/>
      <c r="G304" s="57">
        <f t="shared" si="2"/>
        <v>1</v>
      </c>
      <c r="H304" s="57" t="b">
        <v>1</v>
      </c>
      <c r="I304" s="57" t="b">
        <v>1</v>
      </c>
      <c r="J304" s="6"/>
      <c r="K304" s="13"/>
      <c r="L304" s="13"/>
    </row>
    <row r="305">
      <c r="A305" s="56">
        <v>45796.0</v>
      </c>
      <c r="B305" s="57" t="s">
        <v>29</v>
      </c>
      <c r="C305" s="58"/>
      <c r="D305" s="59">
        <v>5.0</v>
      </c>
      <c r="E305" s="60"/>
      <c r="F305" s="61"/>
      <c r="G305" s="57">
        <f t="shared" si="2"/>
        <v>5</v>
      </c>
      <c r="H305" s="57" t="b">
        <v>1</v>
      </c>
      <c r="I305" s="57" t="b">
        <v>1</v>
      </c>
      <c r="J305" s="6"/>
      <c r="K305" s="13"/>
      <c r="L305" s="13"/>
    </row>
    <row r="306">
      <c r="A306" s="56">
        <v>45796.0</v>
      </c>
      <c r="B306" s="57" t="s">
        <v>420</v>
      </c>
      <c r="C306" s="59">
        <v>1.0</v>
      </c>
      <c r="D306" s="60"/>
      <c r="E306" s="59">
        <v>1.0</v>
      </c>
      <c r="F306" s="61"/>
      <c r="G306" s="57">
        <f t="shared" si="2"/>
        <v>3</v>
      </c>
      <c r="H306" s="57" t="b">
        <v>1</v>
      </c>
      <c r="I306" s="57" t="b">
        <v>1</v>
      </c>
      <c r="J306" s="6"/>
      <c r="K306" s="13"/>
      <c r="L306" s="13"/>
    </row>
    <row r="307">
      <c r="A307" s="56">
        <v>45796.0</v>
      </c>
      <c r="B307" s="57" t="s">
        <v>421</v>
      </c>
      <c r="C307" s="58"/>
      <c r="D307" s="60"/>
      <c r="E307" s="59">
        <v>2.0</v>
      </c>
      <c r="F307" s="61"/>
      <c r="G307" s="57">
        <f t="shared" si="2"/>
        <v>2</v>
      </c>
      <c r="H307" s="57" t="b">
        <v>1</v>
      </c>
      <c r="I307" s="57" t="b">
        <v>1</v>
      </c>
      <c r="J307" s="6"/>
      <c r="K307" s="13"/>
      <c r="L307" s="13"/>
    </row>
    <row r="308">
      <c r="A308" s="56">
        <v>45796.0</v>
      </c>
      <c r="B308" s="57" t="s">
        <v>422</v>
      </c>
      <c r="C308" s="58"/>
      <c r="D308" s="60"/>
      <c r="E308" s="59">
        <v>1.0</v>
      </c>
      <c r="F308" s="61"/>
      <c r="G308" s="57">
        <f t="shared" si="2"/>
        <v>1</v>
      </c>
      <c r="H308" s="57" t="b">
        <v>1</v>
      </c>
      <c r="I308" s="57" t="b">
        <v>1</v>
      </c>
      <c r="J308" s="6"/>
      <c r="K308" s="13"/>
      <c r="L308" s="13"/>
    </row>
    <row r="309">
      <c r="A309" s="56">
        <v>45796.0</v>
      </c>
      <c r="B309" s="57" t="s">
        <v>32</v>
      </c>
      <c r="C309" s="58"/>
      <c r="D309" s="59">
        <v>1.0</v>
      </c>
      <c r="E309" s="60"/>
      <c r="F309" s="61"/>
      <c r="G309" s="57">
        <f t="shared" si="2"/>
        <v>1</v>
      </c>
      <c r="H309" s="57" t="b">
        <v>1</v>
      </c>
      <c r="I309" s="57" t="b">
        <v>1</v>
      </c>
      <c r="J309" s="6"/>
      <c r="K309" s="13"/>
      <c r="L309" s="13"/>
    </row>
    <row r="310">
      <c r="A310" s="56">
        <v>45796.0</v>
      </c>
      <c r="B310" s="57" t="s">
        <v>423</v>
      </c>
      <c r="C310" s="59">
        <v>2.0</v>
      </c>
      <c r="D310" s="60"/>
      <c r="E310" s="60"/>
      <c r="F310" s="61"/>
      <c r="G310" s="57">
        <f t="shared" si="2"/>
        <v>4</v>
      </c>
      <c r="H310" s="57" t="b">
        <v>1</v>
      </c>
      <c r="I310" s="57" t="b">
        <v>1</v>
      </c>
      <c r="J310" s="6"/>
      <c r="K310" s="13"/>
      <c r="L310" s="13"/>
    </row>
    <row r="311">
      <c r="A311" s="56">
        <v>45796.0</v>
      </c>
      <c r="B311" s="57" t="s">
        <v>338</v>
      </c>
      <c r="C311" s="59">
        <v>1.0</v>
      </c>
      <c r="D311" s="60"/>
      <c r="E311" s="60"/>
      <c r="F311" s="61"/>
      <c r="G311" s="57">
        <f t="shared" si="2"/>
        <v>2</v>
      </c>
      <c r="H311" s="57" t="b">
        <v>1</v>
      </c>
      <c r="I311" s="57" t="b">
        <v>1</v>
      </c>
      <c r="J311" s="6"/>
      <c r="K311" s="13"/>
      <c r="L311" s="13"/>
    </row>
    <row r="312">
      <c r="A312" s="56">
        <v>45796.0</v>
      </c>
      <c r="B312" s="57" t="s">
        <v>424</v>
      </c>
      <c r="C312" s="59">
        <v>3.0</v>
      </c>
      <c r="D312" s="60"/>
      <c r="E312" s="60"/>
      <c r="F312" s="61"/>
      <c r="G312" s="57">
        <f t="shared" si="2"/>
        <v>6</v>
      </c>
      <c r="H312" s="57" t="b">
        <v>1</v>
      </c>
      <c r="I312" s="57" t="b">
        <v>1</v>
      </c>
      <c r="J312" s="6"/>
      <c r="K312" s="13"/>
      <c r="L312" s="13"/>
    </row>
    <row r="313">
      <c r="A313" s="56">
        <v>45796.0</v>
      </c>
      <c r="B313" s="57" t="s">
        <v>425</v>
      </c>
      <c r="C313" s="59">
        <v>1.0</v>
      </c>
      <c r="D313" s="60"/>
      <c r="E313" s="60"/>
      <c r="F313" s="61"/>
      <c r="G313" s="57">
        <f t="shared" si="2"/>
        <v>2</v>
      </c>
      <c r="H313" s="57" t="b">
        <v>1</v>
      </c>
      <c r="I313" s="57" t="b">
        <v>1</v>
      </c>
      <c r="J313" s="6"/>
      <c r="K313" s="13"/>
      <c r="L313" s="13"/>
    </row>
    <row r="314">
      <c r="A314" s="56">
        <v>45796.0</v>
      </c>
      <c r="B314" s="57" t="s">
        <v>411</v>
      </c>
      <c r="C314" s="58"/>
      <c r="D314" s="60"/>
      <c r="E314" s="59">
        <v>1.0</v>
      </c>
      <c r="F314" s="61"/>
      <c r="G314" s="57">
        <f t="shared" si="2"/>
        <v>1</v>
      </c>
      <c r="H314" s="57" t="b">
        <v>1</v>
      </c>
      <c r="I314" s="57" t="b">
        <v>1</v>
      </c>
      <c r="J314" s="6"/>
      <c r="K314" s="13"/>
      <c r="L314" s="13"/>
    </row>
    <row r="315">
      <c r="A315" s="56">
        <v>45796.0</v>
      </c>
      <c r="B315" s="57" t="s">
        <v>426</v>
      </c>
      <c r="C315" s="59">
        <v>3.0</v>
      </c>
      <c r="D315" s="60"/>
      <c r="E315" s="60"/>
      <c r="F315" s="61"/>
      <c r="G315" s="57">
        <f t="shared" si="2"/>
        <v>6</v>
      </c>
      <c r="H315" s="57" t="b">
        <v>1</v>
      </c>
      <c r="I315" s="57" t="b">
        <v>1</v>
      </c>
      <c r="J315" s="6"/>
      <c r="K315" s="13"/>
      <c r="L315" s="13"/>
    </row>
    <row r="316">
      <c r="A316" s="56">
        <v>45796.0</v>
      </c>
      <c r="B316" s="57" t="s">
        <v>427</v>
      </c>
      <c r="C316" s="59">
        <v>1.0</v>
      </c>
      <c r="D316" s="60"/>
      <c r="E316" s="60"/>
      <c r="F316" s="61"/>
      <c r="G316" s="57">
        <f t="shared" si="2"/>
        <v>2</v>
      </c>
      <c r="H316" s="57" t="b">
        <v>1</v>
      </c>
      <c r="I316" s="57" t="b">
        <v>1</v>
      </c>
      <c r="J316" s="6"/>
      <c r="K316" s="13"/>
      <c r="L316" s="13"/>
    </row>
    <row r="317">
      <c r="A317" s="56">
        <v>45796.0</v>
      </c>
      <c r="B317" s="57" t="s">
        <v>275</v>
      </c>
      <c r="C317" s="59">
        <v>2.0</v>
      </c>
      <c r="D317" s="60"/>
      <c r="E317" s="60"/>
      <c r="F317" s="61"/>
      <c r="G317" s="57">
        <f t="shared" si="2"/>
        <v>4</v>
      </c>
      <c r="H317" s="57" t="b">
        <v>1</v>
      </c>
      <c r="I317" s="57" t="b">
        <v>1</v>
      </c>
      <c r="J317" s="6"/>
      <c r="K317" s="13"/>
      <c r="L317" s="13"/>
    </row>
    <row r="318">
      <c r="A318" s="56">
        <v>45796.0</v>
      </c>
      <c r="B318" s="57" t="s">
        <v>32</v>
      </c>
      <c r="C318" s="71">
        <v>2.0</v>
      </c>
      <c r="D318" s="60"/>
      <c r="E318" s="60"/>
      <c r="F318" s="61"/>
      <c r="G318" s="57">
        <f t="shared" si="2"/>
        <v>4</v>
      </c>
      <c r="H318" s="57" t="b">
        <v>1</v>
      </c>
      <c r="I318" s="57" t="b">
        <v>1</v>
      </c>
      <c r="J318" s="6"/>
      <c r="K318" s="13"/>
      <c r="L318" s="13"/>
    </row>
    <row r="319">
      <c r="A319" s="56">
        <v>45796.0</v>
      </c>
      <c r="B319" s="57" t="s">
        <v>428</v>
      </c>
      <c r="C319" s="71">
        <v>2.0</v>
      </c>
      <c r="D319" s="60"/>
      <c r="E319" s="60"/>
      <c r="F319" s="61"/>
      <c r="G319" s="57">
        <f t="shared" si="2"/>
        <v>4</v>
      </c>
      <c r="H319" s="57" t="b">
        <v>1</v>
      </c>
      <c r="I319" s="57" t="b">
        <v>1</v>
      </c>
      <c r="J319" s="6"/>
      <c r="K319" s="13"/>
      <c r="L319" s="13"/>
    </row>
    <row r="320">
      <c r="A320" s="56">
        <v>45796.0</v>
      </c>
      <c r="B320" s="57" t="s">
        <v>96</v>
      </c>
      <c r="C320" s="58"/>
      <c r="D320" s="59">
        <v>6.0</v>
      </c>
      <c r="E320" s="60"/>
      <c r="F320" s="61"/>
      <c r="G320" s="57">
        <f t="shared" si="2"/>
        <v>6</v>
      </c>
      <c r="H320" s="57" t="b">
        <v>1</v>
      </c>
      <c r="I320" s="57" t="b">
        <v>1</v>
      </c>
      <c r="J320" s="6"/>
      <c r="K320" s="13"/>
      <c r="L320" s="13"/>
    </row>
    <row r="321">
      <c r="A321" s="56">
        <v>45796.0</v>
      </c>
      <c r="B321" s="57" t="s">
        <v>379</v>
      </c>
      <c r="C321" s="58"/>
      <c r="D321" s="59">
        <v>1.0</v>
      </c>
      <c r="E321" s="60"/>
      <c r="F321" s="61"/>
      <c r="G321" s="57">
        <f t="shared" si="2"/>
        <v>1</v>
      </c>
      <c r="H321" s="57" t="b">
        <v>1</v>
      </c>
      <c r="I321" s="57" t="b">
        <v>1</v>
      </c>
      <c r="J321" s="6"/>
      <c r="K321" s="13"/>
      <c r="L321" s="13"/>
    </row>
    <row r="322">
      <c r="A322" s="56">
        <v>45796.0</v>
      </c>
      <c r="B322" s="57" t="s">
        <v>429</v>
      </c>
      <c r="C322" s="58"/>
      <c r="D322" s="59">
        <v>2.0</v>
      </c>
      <c r="E322" s="60"/>
      <c r="F322" s="61"/>
      <c r="G322" s="57">
        <f t="shared" si="2"/>
        <v>2</v>
      </c>
      <c r="H322" s="57" t="b">
        <v>1</v>
      </c>
      <c r="I322" s="57" t="b">
        <v>1</v>
      </c>
      <c r="J322" s="6"/>
      <c r="K322" s="13"/>
      <c r="L322" s="13"/>
    </row>
    <row r="323">
      <c r="A323" s="56">
        <v>45796.0</v>
      </c>
      <c r="B323" s="57" t="s">
        <v>311</v>
      </c>
      <c r="C323" s="59">
        <v>1.0</v>
      </c>
      <c r="D323" s="60"/>
      <c r="E323" s="60"/>
      <c r="F323" s="61"/>
      <c r="G323" s="57">
        <f t="shared" si="2"/>
        <v>2</v>
      </c>
      <c r="H323" s="57" t="b">
        <v>1</v>
      </c>
      <c r="I323" s="57" t="b">
        <v>1</v>
      </c>
      <c r="J323" s="6"/>
      <c r="K323" s="13"/>
      <c r="L323" s="13"/>
    </row>
    <row r="324">
      <c r="A324" s="56">
        <v>45796.0</v>
      </c>
      <c r="B324" s="57" t="s">
        <v>337</v>
      </c>
      <c r="C324" s="59">
        <v>1.0</v>
      </c>
      <c r="D324" s="60"/>
      <c r="E324" s="60"/>
      <c r="F324" s="61"/>
      <c r="G324" s="57">
        <f t="shared" si="2"/>
        <v>2</v>
      </c>
      <c r="H324" s="57" t="b">
        <v>1</v>
      </c>
      <c r="I324" s="57" t="b">
        <v>1</v>
      </c>
      <c r="J324" s="6"/>
      <c r="K324" s="13"/>
      <c r="L324" s="13"/>
    </row>
    <row r="325">
      <c r="A325" s="56">
        <v>45796.0</v>
      </c>
      <c r="B325" s="57" t="s">
        <v>34</v>
      </c>
      <c r="C325" s="58"/>
      <c r="D325" s="60"/>
      <c r="E325" s="59">
        <v>1.0</v>
      </c>
      <c r="F325" s="61"/>
      <c r="G325" s="57">
        <f t="shared" si="2"/>
        <v>1</v>
      </c>
      <c r="H325" s="57" t="b">
        <v>1</v>
      </c>
      <c r="I325" s="57" t="b">
        <v>1</v>
      </c>
      <c r="J325" s="6"/>
      <c r="K325" s="13"/>
      <c r="L325" s="13"/>
    </row>
    <row r="326">
      <c r="A326" s="56">
        <v>45796.0</v>
      </c>
      <c r="B326" s="57" t="s">
        <v>430</v>
      </c>
      <c r="C326" s="58"/>
      <c r="D326" s="59">
        <v>1.0</v>
      </c>
      <c r="E326" s="60"/>
      <c r="F326" s="61"/>
      <c r="G326" s="57">
        <f t="shared" si="2"/>
        <v>1</v>
      </c>
      <c r="H326" s="57" t="b">
        <v>1</v>
      </c>
      <c r="I326" s="57" t="b">
        <v>1</v>
      </c>
      <c r="J326" s="6"/>
      <c r="K326" s="13"/>
      <c r="L326" s="13"/>
    </row>
    <row r="327">
      <c r="A327" s="56">
        <v>45796.0</v>
      </c>
      <c r="B327" s="57" t="s">
        <v>431</v>
      </c>
      <c r="C327" s="59">
        <v>1.0</v>
      </c>
      <c r="D327" s="60"/>
      <c r="E327" s="60"/>
      <c r="F327" s="61"/>
      <c r="G327" s="57">
        <f t="shared" si="2"/>
        <v>2</v>
      </c>
      <c r="H327" s="57" t="b">
        <v>1</v>
      </c>
      <c r="I327" s="57" t="b">
        <v>1</v>
      </c>
      <c r="J327" s="6"/>
      <c r="K327" s="13"/>
      <c r="L327" s="13"/>
    </row>
    <row r="328">
      <c r="A328" s="56">
        <v>45796.0</v>
      </c>
      <c r="B328" s="57" t="s">
        <v>53</v>
      </c>
      <c r="C328" s="58"/>
      <c r="D328" s="59">
        <v>2.0</v>
      </c>
      <c r="E328" s="60"/>
      <c r="F328" s="61"/>
      <c r="G328" s="57">
        <f t="shared" si="2"/>
        <v>2</v>
      </c>
      <c r="H328" s="57" t="b">
        <v>1</v>
      </c>
      <c r="I328" s="57" t="b">
        <v>1</v>
      </c>
      <c r="J328" s="6"/>
      <c r="K328" s="13"/>
      <c r="L328" s="13"/>
    </row>
    <row r="329">
      <c r="A329" s="56">
        <v>45796.0</v>
      </c>
      <c r="B329" s="57" t="s">
        <v>432</v>
      </c>
      <c r="C329" s="59">
        <v>1.0</v>
      </c>
      <c r="D329" s="60"/>
      <c r="E329" s="60"/>
      <c r="F329" s="61"/>
      <c r="G329" s="57">
        <f t="shared" si="2"/>
        <v>2</v>
      </c>
      <c r="H329" s="57" t="b">
        <v>1</v>
      </c>
      <c r="I329" s="57" t="b">
        <v>1</v>
      </c>
      <c r="J329" s="6"/>
      <c r="K329" s="13"/>
      <c r="L329" s="13"/>
    </row>
    <row r="330">
      <c r="A330" s="56">
        <v>45796.0</v>
      </c>
      <c r="B330" s="57" t="s">
        <v>264</v>
      </c>
      <c r="C330" s="59">
        <v>1.0</v>
      </c>
      <c r="D330" s="60"/>
      <c r="E330" s="60"/>
      <c r="F330" s="61"/>
      <c r="G330" s="57">
        <v>2.0</v>
      </c>
      <c r="H330" s="57" t="b">
        <v>1</v>
      </c>
      <c r="I330" s="57" t="b">
        <v>1</v>
      </c>
      <c r="J330" s="6"/>
      <c r="K330" s="13"/>
      <c r="L330" s="13"/>
    </row>
    <row r="331">
      <c r="A331" s="56">
        <v>45796.0</v>
      </c>
      <c r="B331" s="57" t="s">
        <v>417</v>
      </c>
      <c r="C331" s="59">
        <v>2.0</v>
      </c>
      <c r="D331" s="60"/>
      <c r="E331" s="60"/>
      <c r="F331" s="61"/>
      <c r="G331" s="57">
        <v>4.0</v>
      </c>
      <c r="H331" s="57" t="b">
        <v>1</v>
      </c>
      <c r="I331" s="57" t="b">
        <v>1</v>
      </c>
      <c r="J331" s="6"/>
      <c r="K331" s="13"/>
      <c r="L331" s="13"/>
    </row>
    <row r="332">
      <c r="A332" s="56">
        <v>45796.0</v>
      </c>
      <c r="B332" s="57" t="s">
        <v>433</v>
      </c>
      <c r="C332" s="58"/>
      <c r="D332" s="59">
        <v>1.0</v>
      </c>
      <c r="E332" s="60"/>
      <c r="F332" s="61"/>
      <c r="G332" s="57">
        <v>1.0</v>
      </c>
      <c r="H332" s="57" t="b">
        <v>1</v>
      </c>
      <c r="I332" s="57" t="b">
        <v>1</v>
      </c>
      <c r="J332" s="6"/>
      <c r="K332" s="13"/>
      <c r="L332" s="13"/>
    </row>
    <row r="333">
      <c r="A333" s="56">
        <v>45796.0</v>
      </c>
      <c r="B333" s="57" t="s">
        <v>434</v>
      </c>
      <c r="C333" s="58"/>
      <c r="D333" s="59">
        <v>1.0</v>
      </c>
      <c r="E333" s="60"/>
      <c r="F333" s="61"/>
      <c r="G333" s="57">
        <v>1.0</v>
      </c>
      <c r="H333" s="57" t="b">
        <v>1</v>
      </c>
      <c r="I333" s="57" t="b">
        <v>1</v>
      </c>
      <c r="J333" s="6"/>
      <c r="K333" s="13"/>
      <c r="L333" s="13"/>
    </row>
    <row r="334">
      <c r="A334" s="6"/>
      <c r="B334" s="6"/>
      <c r="C334" s="6"/>
      <c r="D334" s="6"/>
      <c r="E334" s="6"/>
      <c r="F334" s="118"/>
      <c r="G334" s="118"/>
      <c r="H334" s="6"/>
      <c r="I334" s="6"/>
      <c r="J334" s="6"/>
      <c r="K334" s="13"/>
      <c r="L334" s="13"/>
    </row>
    <row r="335">
      <c r="A335" s="13"/>
      <c r="B335" s="13"/>
      <c r="C335" s="13"/>
      <c r="D335" s="13"/>
      <c r="E335" s="13"/>
      <c r="F335" s="119"/>
      <c r="G335" s="119"/>
      <c r="H335" s="13"/>
      <c r="I335" s="13"/>
      <c r="J335" s="13"/>
      <c r="K335" s="13"/>
      <c r="L335" s="13"/>
    </row>
    <row r="336">
      <c r="F336" s="112"/>
      <c r="G336" s="112"/>
    </row>
    <row r="337">
      <c r="F337" s="112"/>
      <c r="G337" s="112"/>
    </row>
    <row r="338">
      <c r="F338" s="112"/>
      <c r="G338" s="112"/>
    </row>
    <row r="339">
      <c r="F339" s="112"/>
      <c r="G339" s="112"/>
    </row>
    <row r="340">
      <c r="F340" s="112"/>
      <c r="G340" s="112"/>
    </row>
    <row r="341">
      <c r="F341" s="112"/>
      <c r="G341" s="112"/>
    </row>
    <row r="342">
      <c r="F342" s="112"/>
      <c r="G342" s="112"/>
    </row>
    <row r="343">
      <c r="F343" s="112"/>
      <c r="G343" s="112"/>
    </row>
    <row r="344">
      <c r="F344" s="112"/>
      <c r="G344" s="112"/>
    </row>
    <row r="345">
      <c r="F345" s="112"/>
      <c r="G345" s="112"/>
    </row>
    <row r="346">
      <c r="F346" s="112"/>
      <c r="G346" s="112"/>
    </row>
    <row r="347">
      <c r="F347" s="112"/>
      <c r="G347" s="112"/>
    </row>
    <row r="348">
      <c r="F348" s="112"/>
      <c r="G348" s="112"/>
    </row>
    <row r="349">
      <c r="F349" s="112"/>
      <c r="G349" s="112"/>
    </row>
    <row r="350">
      <c r="F350" s="112"/>
      <c r="G350" s="112"/>
    </row>
    <row r="351">
      <c r="F351" s="112"/>
      <c r="G351" s="112"/>
    </row>
    <row r="352">
      <c r="F352" s="112"/>
      <c r="G352" s="112"/>
    </row>
    <row r="353">
      <c r="F353" s="112"/>
      <c r="G353" s="112"/>
    </row>
    <row r="354">
      <c r="F354" s="112"/>
      <c r="G354" s="112"/>
    </row>
    <row r="355">
      <c r="F355" s="112"/>
      <c r="G355" s="112"/>
    </row>
    <row r="356">
      <c r="F356" s="112"/>
      <c r="G356" s="112"/>
    </row>
    <row r="357">
      <c r="F357" s="112"/>
      <c r="G357" s="112"/>
    </row>
    <row r="358">
      <c r="F358" s="112"/>
      <c r="G358" s="112"/>
    </row>
  </sheetData>
  <mergeCells count="1">
    <mergeCell ref="A1:I1"/>
  </mergeCells>
  <dataValidations>
    <dataValidation type="list" allowBlank="1" showErrorMessage="1" sqref="A3:A333">
      <formula1>"19/05/2025,20/05/2025,21/05/2025,22/05/2025,23/05/2025,24/05/2025,25/05/2025,26/05/2025"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25.75"/>
    <col customWidth="1" min="5" max="5" width="23.5"/>
    <col customWidth="1" min="6" max="6" width="27.25"/>
    <col customWidth="1" min="7" max="7" width="25.63"/>
    <col customWidth="1" min="8" max="8" width="20.0"/>
  </cols>
  <sheetData>
    <row r="1">
      <c r="A1" s="13"/>
      <c r="B1" s="13"/>
      <c r="C1" s="13"/>
      <c r="D1" s="13"/>
      <c r="E1" s="13"/>
      <c r="F1" s="13"/>
      <c r="G1" s="13"/>
      <c r="H1" s="13"/>
      <c r="I1" s="13"/>
      <c r="J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</row>
    <row r="7">
      <c r="A7" s="13"/>
      <c r="B7" s="13"/>
      <c r="C7" s="13"/>
      <c r="D7" s="46" t="s">
        <v>1</v>
      </c>
      <c r="E7" s="8"/>
      <c r="F7" s="8"/>
      <c r="G7" s="8"/>
      <c r="H7" s="8"/>
      <c r="I7" s="13"/>
      <c r="J7" s="13"/>
    </row>
    <row r="8">
      <c r="A8" s="13"/>
      <c r="B8" s="13"/>
      <c r="C8" s="13"/>
      <c r="D8" s="10"/>
      <c r="E8" s="11"/>
      <c r="F8" s="11"/>
      <c r="G8" s="11"/>
      <c r="H8" s="11"/>
      <c r="I8" s="13"/>
      <c r="J8" s="13"/>
    </row>
    <row r="9">
      <c r="A9" s="13"/>
      <c r="B9" s="13"/>
      <c r="C9" s="13"/>
      <c r="D9" s="47" t="s">
        <v>4</v>
      </c>
      <c r="E9" s="47" t="s">
        <v>35</v>
      </c>
      <c r="F9" s="47" t="s">
        <v>6</v>
      </c>
      <c r="G9" s="47" t="s">
        <v>7</v>
      </c>
      <c r="H9" s="47" t="s">
        <v>8</v>
      </c>
      <c r="I9" s="13"/>
      <c r="J9" s="13"/>
    </row>
    <row r="10" ht="33.75" customHeight="1">
      <c r="A10" s="48"/>
      <c r="B10" s="48"/>
      <c r="C10" s="48"/>
      <c r="D10" s="55">
        <f>SUM('Planilha de Vendas'!$C$5:$C$1328)</f>
        <v>202</v>
      </c>
      <c r="E10" s="55">
        <f>SUM('Planilha de Vendas'!$D$5:$D$1328)</f>
        <v>460</v>
      </c>
      <c r="F10" s="55">
        <f>SUM('Planilha de Vendas'!$E$5:$E$1328)</f>
        <v>52</v>
      </c>
      <c r="G10" s="62">
        <f>SUM('Planilha de Vendas'!$F$5:$F$1328)</f>
        <v>161</v>
      </c>
      <c r="H10" s="62">
        <f>(D10*2)+E10+F10+G10</f>
        <v>1077</v>
      </c>
      <c r="I10" s="48"/>
      <c r="J10" s="48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>
      <c r="A15" s="13"/>
      <c r="B15" s="13"/>
      <c r="C15" s="13"/>
      <c r="D15" s="46" t="s">
        <v>51</v>
      </c>
      <c r="E15" s="8"/>
      <c r="F15" s="8"/>
      <c r="G15" s="8"/>
      <c r="H15" s="8"/>
      <c r="I15" s="13"/>
      <c r="J15" s="13"/>
    </row>
    <row r="16">
      <c r="A16" s="13"/>
      <c r="B16" s="13"/>
      <c r="C16" s="13"/>
      <c r="D16" s="10"/>
      <c r="E16" s="11"/>
      <c r="F16" s="11"/>
      <c r="G16" s="11"/>
      <c r="H16" s="11"/>
      <c r="I16" s="13"/>
      <c r="J16" s="13"/>
    </row>
    <row r="17">
      <c r="A17" s="13"/>
      <c r="B17" s="13"/>
      <c r="C17" s="13"/>
      <c r="D17" s="47" t="s">
        <v>4</v>
      </c>
      <c r="E17" s="47" t="s">
        <v>35</v>
      </c>
      <c r="F17" s="47" t="s">
        <v>6</v>
      </c>
      <c r="G17" s="47" t="s">
        <v>7</v>
      </c>
      <c r="H17" s="47" t="s">
        <v>8</v>
      </c>
      <c r="I17" s="13"/>
      <c r="J17" s="13"/>
    </row>
    <row r="18" ht="33.75" customHeight="1">
      <c r="A18" s="13"/>
      <c r="B18" s="13"/>
      <c r="C18" s="13"/>
      <c r="D18" s="64">
        <v>26.0</v>
      </c>
      <c r="E18" s="55">
        <v>26.0</v>
      </c>
      <c r="F18" s="55">
        <v>8.0</v>
      </c>
      <c r="G18" s="62">
        <v>0.0</v>
      </c>
      <c r="H18" s="65">
        <f>D18*2+E18+F18+G18</f>
        <v>86</v>
      </c>
      <c r="I18" s="13"/>
      <c r="J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>
      <c r="A23" s="13"/>
      <c r="B23" s="13"/>
      <c r="C23" s="13"/>
      <c r="D23" s="46" t="s">
        <v>58</v>
      </c>
      <c r="E23" s="8"/>
      <c r="F23" s="8"/>
      <c r="G23" s="8"/>
      <c r="H23" s="8"/>
      <c r="I23" s="13"/>
      <c r="J23" s="13"/>
    </row>
    <row r="24">
      <c r="A24" s="13"/>
      <c r="B24" s="13"/>
      <c r="C24" s="13"/>
      <c r="D24" s="10"/>
      <c r="E24" s="11"/>
      <c r="F24" s="11"/>
      <c r="G24" s="11"/>
      <c r="H24" s="11"/>
      <c r="I24" s="13"/>
      <c r="J24" s="13"/>
    </row>
    <row r="25">
      <c r="A25" s="13"/>
      <c r="B25" s="13"/>
      <c r="C25" s="13"/>
      <c r="D25" s="47" t="s">
        <v>4</v>
      </c>
      <c r="E25" s="47" t="s">
        <v>35</v>
      </c>
      <c r="F25" s="47" t="s">
        <v>6</v>
      </c>
      <c r="G25" s="47" t="s">
        <v>7</v>
      </c>
      <c r="H25" s="47" t="s">
        <v>8</v>
      </c>
      <c r="I25" s="13"/>
      <c r="J25" s="13"/>
    </row>
    <row r="26">
      <c r="A26" s="13"/>
      <c r="B26" s="13"/>
      <c r="C26" s="13"/>
      <c r="D26" s="66">
        <v>17.0</v>
      </c>
      <c r="E26" s="67">
        <v>123.0</v>
      </c>
      <c r="F26" s="67">
        <v>4.0</v>
      </c>
      <c r="G26" s="67">
        <v>21.0</v>
      </c>
      <c r="H26" s="67">
        <f>D26*2+E26+F26+G26</f>
        <v>182</v>
      </c>
      <c r="I26" s="13"/>
      <c r="J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>
      <c r="A30" s="13"/>
      <c r="B30" s="13"/>
      <c r="C30" s="13"/>
      <c r="D30" s="46" t="s">
        <v>66</v>
      </c>
      <c r="E30" s="8"/>
      <c r="F30" s="8"/>
      <c r="G30" s="8"/>
      <c r="H30" s="8"/>
      <c r="I30" s="13"/>
      <c r="J30" s="13"/>
    </row>
    <row r="31">
      <c r="A31" s="13"/>
      <c r="B31" s="13"/>
      <c r="C31" s="13"/>
      <c r="D31" s="10"/>
      <c r="E31" s="11"/>
      <c r="F31" s="11"/>
      <c r="G31" s="11"/>
      <c r="H31" s="11"/>
      <c r="I31" s="13"/>
      <c r="J31" s="13"/>
    </row>
    <row r="32">
      <c r="A32" s="13"/>
      <c r="B32" s="13"/>
      <c r="C32" s="13"/>
      <c r="D32" s="47" t="s">
        <v>4</v>
      </c>
      <c r="E32" s="47" t="s">
        <v>35</v>
      </c>
      <c r="F32" s="47" t="s">
        <v>6</v>
      </c>
      <c r="G32" s="47" t="s">
        <v>7</v>
      </c>
      <c r="H32" s="47" t="s">
        <v>8</v>
      </c>
      <c r="I32" s="13"/>
      <c r="J32" s="13"/>
    </row>
    <row r="33">
      <c r="A33" s="13"/>
      <c r="B33" s="13"/>
      <c r="C33" s="13"/>
      <c r="D33" s="66">
        <v>56.0</v>
      </c>
      <c r="E33" s="67">
        <v>72.0</v>
      </c>
      <c r="F33" s="67">
        <v>16.0</v>
      </c>
      <c r="G33" s="67">
        <v>42.0</v>
      </c>
      <c r="H33" s="67">
        <f>D33*2+E33+F33+G33</f>
        <v>242</v>
      </c>
      <c r="I33" s="13"/>
      <c r="J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>
      <c r="A38" s="13"/>
      <c r="B38" s="13"/>
      <c r="C38" s="13"/>
      <c r="D38" s="46" t="s">
        <v>71</v>
      </c>
      <c r="E38" s="8"/>
      <c r="F38" s="8"/>
      <c r="G38" s="8"/>
      <c r="H38" s="8"/>
      <c r="I38" s="13"/>
      <c r="J38" s="13"/>
    </row>
    <row r="39">
      <c r="A39" s="13"/>
      <c r="B39" s="13"/>
      <c r="C39" s="13"/>
      <c r="D39" s="10"/>
      <c r="E39" s="11"/>
      <c r="F39" s="11"/>
      <c r="G39" s="11"/>
      <c r="H39" s="11"/>
      <c r="I39" s="13"/>
      <c r="J39" s="13"/>
    </row>
    <row r="40">
      <c r="A40" s="13"/>
      <c r="B40" s="13"/>
      <c r="C40" s="13"/>
      <c r="D40" s="47" t="s">
        <v>4</v>
      </c>
      <c r="E40" s="47" t="s">
        <v>35</v>
      </c>
      <c r="F40" s="47" t="s">
        <v>6</v>
      </c>
      <c r="G40" s="47" t="s">
        <v>7</v>
      </c>
      <c r="H40" s="47" t="s">
        <v>8</v>
      </c>
      <c r="I40" s="13"/>
      <c r="J40" s="13"/>
    </row>
    <row r="41">
      <c r="A41" s="13"/>
      <c r="B41" s="13"/>
      <c r="C41" s="13"/>
      <c r="D41" s="66">
        <v>54.0</v>
      </c>
      <c r="E41" s="67">
        <v>78.0</v>
      </c>
      <c r="F41" s="67">
        <v>15.0</v>
      </c>
      <c r="G41" s="67">
        <v>56.0</v>
      </c>
      <c r="H41" s="67">
        <f>D41*2+E41+F41+G41</f>
        <v>257</v>
      </c>
      <c r="I41" s="13"/>
      <c r="J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>
      <c r="A45" s="13"/>
      <c r="B45" s="13"/>
      <c r="C45" s="13"/>
      <c r="D45" s="46" t="s">
        <v>81</v>
      </c>
      <c r="E45" s="8"/>
      <c r="F45" s="8"/>
      <c r="G45" s="8"/>
      <c r="H45" s="8"/>
      <c r="I45" s="13"/>
      <c r="J45" s="13"/>
    </row>
    <row r="46">
      <c r="A46" s="13"/>
      <c r="B46" s="13"/>
      <c r="C46" s="13"/>
      <c r="D46" s="10"/>
      <c r="E46" s="11"/>
      <c r="F46" s="11"/>
      <c r="G46" s="11"/>
      <c r="H46" s="11"/>
      <c r="I46" s="13"/>
      <c r="J46" s="13"/>
    </row>
    <row r="47">
      <c r="A47" s="13"/>
      <c r="B47" s="13"/>
      <c r="C47" s="13"/>
      <c r="D47" s="47" t="s">
        <v>4</v>
      </c>
      <c r="E47" s="47" t="s">
        <v>35</v>
      </c>
      <c r="F47" s="47" t="s">
        <v>6</v>
      </c>
      <c r="G47" s="47" t="s">
        <v>7</v>
      </c>
      <c r="H47" s="47" t="s">
        <v>8</v>
      </c>
      <c r="I47" s="13"/>
      <c r="J47" s="13"/>
    </row>
    <row r="48">
      <c r="A48" s="13"/>
      <c r="B48" s="13"/>
      <c r="C48" s="13"/>
      <c r="D48" s="66">
        <v>42.0</v>
      </c>
      <c r="E48" s="66">
        <v>91.0</v>
      </c>
      <c r="F48" s="67">
        <v>8.0</v>
      </c>
      <c r="G48" s="67">
        <v>11.0</v>
      </c>
      <c r="H48" s="67">
        <f>D48*2+E48+F48+G48</f>
        <v>194</v>
      </c>
      <c r="I48" s="13"/>
      <c r="J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>
      <c r="A52" s="13"/>
      <c r="B52" s="13"/>
      <c r="C52" s="13"/>
      <c r="D52" s="46" t="s">
        <v>89</v>
      </c>
      <c r="E52" s="8"/>
      <c r="F52" s="8"/>
      <c r="G52" s="8"/>
      <c r="H52" s="8"/>
      <c r="I52" s="13"/>
      <c r="J52" s="13"/>
    </row>
    <row r="53">
      <c r="A53" s="13"/>
      <c r="B53" s="13"/>
      <c r="C53" s="13"/>
      <c r="D53" s="10"/>
      <c r="E53" s="11"/>
      <c r="F53" s="11"/>
      <c r="G53" s="11"/>
      <c r="H53" s="11"/>
      <c r="I53" s="13"/>
      <c r="J53" s="13"/>
    </row>
    <row r="54">
      <c r="A54" s="13"/>
      <c r="B54" s="13"/>
      <c r="C54" s="13"/>
      <c r="D54" s="47" t="s">
        <v>4</v>
      </c>
      <c r="E54" s="47" t="s">
        <v>35</v>
      </c>
      <c r="F54" s="47" t="s">
        <v>6</v>
      </c>
      <c r="G54" s="47" t="s">
        <v>7</v>
      </c>
      <c r="H54" s="47" t="s">
        <v>8</v>
      </c>
      <c r="I54" s="13"/>
      <c r="J54" s="13"/>
    </row>
    <row r="55">
      <c r="A55" s="13"/>
      <c r="B55" s="13"/>
      <c r="C55" s="13"/>
      <c r="D55" s="67">
        <v>4.0</v>
      </c>
      <c r="E55" s="67">
        <v>67.0</v>
      </c>
      <c r="F55" s="67">
        <v>0.0</v>
      </c>
      <c r="G55" s="67">
        <v>14.0</v>
      </c>
      <c r="H55" s="67">
        <f>D55*2+E55+F55+G55</f>
        <v>89</v>
      </c>
      <c r="I55" s="13"/>
      <c r="J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>
      <c r="A59" s="13"/>
      <c r="B59" s="13"/>
      <c r="C59" s="13"/>
      <c r="D59" s="46" t="s">
        <v>95</v>
      </c>
      <c r="E59" s="8"/>
      <c r="F59" s="8"/>
      <c r="G59" s="8"/>
      <c r="H59" s="8"/>
      <c r="I59" s="13"/>
      <c r="J59" s="13"/>
    </row>
    <row r="60">
      <c r="A60" s="13"/>
      <c r="B60" s="13"/>
      <c r="C60" s="13"/>
      <c r="D60" s="10"/>
      <c r="E60" s="11"/>
      <c r="F60" s="11"/>
      <c r="G60" s="11"/>
      <c r="H60" s="11"/>
      <c r="I60" s="13"/>
      <c r="J60" s="13"/>
    </row>
    <row r="61">
      <c r="A61" s="13"/>
      <c r="B61" s="13"/>
      <c r="C61" s="13"/>
      <c r="D61" s="47" t="s">
        <v>4</v>
      </c>
      <c r="E61" s="47" t="s">
        <v>35</v>
      </c>
      <c r="F61" s="47" t="s">
        <v>6</v>
      </c>
      <c r="G61" s="47" t="s">
        <v>7</v>
      </c>
      <c r="H61" s="47" t="s">
        <v>8</v>
      </c>
      <c r="I61" s="13"/>
      <c r="J61" s="13"/>
    </row>
    <row r="62">
      <c r="A62" s="13"/>
      <c r="B62" s="13"/>
      <c r="C62" s="13"/>
      <c r="D62" s="67">
        <v>2.0</v>
      </c>
      <c r="E62" s="67">
        <v>3.0</v>
      </c>
      <c r="F62" s="67">
        <v>1.0</v>
      </c>
      <c r="G62" s="67">
        <v>19.0</v>
      </c>
      <c r="H62" s="67">
        <f>D62*2+E62+F62+G62</f>
        <v>27</v>
      </c>
      <c r="I62" s="13"/>
      <c r="J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>
      <c r="A67" s="13"/>
      <c r="B67" s="13"/>
      <c r="C67" s="13"/>
      <c r="D67" s="46" t="s">
        <v>100</v>
      </c>
      <c r="E67" s="8"/>
      <c r="F67" s="8"/>
      <c r="G67" s="8"/>
      <c r="H67" s="8"/>
      <c r="I67" s="13"/>
      <c r="J67" s="13"/>
    </row>
    <row r="68">
      <c r="A68" s="13"/>
      <c r="B68" s="13"/>
      <c r="C68" s="13"/>
      <c r="D68" s="10"/>
      <c r="E68" s="11"/>
      <c r="F68" s="11"/>
      <c r="G68" s="11"/>
      <c r="H68" s="11"/>
      <c r="I68" s="13"/>
      <c r="J68" s="13"/>
    </row>
    <row r="69">
      <c r="A69" s="13"/>
      <c r="B69" s="13"/>
      <c r="C69" s="13"/>
      <c r="D69" s="47" t="s">
        <v>4</v>
      </c>
      <c r="E69" s="47" t="s">
        <v>35</v>
      </c>
      <c r="F69" s="47" t="s">
        <v>6</v>
      </c>
      <c r="G69" s="47" t="s">
        <v>7</v>
      </c>
      <c r="H69" s="47" t="s">
        <v>8</v>
      </c>
      <c r="I69" s="13"/>
      <c r="J69" s="13"/>
    </row>
    <row r="70">
      <c r="A70" s="13"/>
      <c r="B70" s="13"/>
      <c r="C70" s="13"/>
      <c r="D70" s="66">
        <v>1.0</v>
      </c>
      <c r="E70" s="66">
        <v>0.0</v>
      </c>
      <c r="F70" s="66">
        <v>0.0</v>
      </c>
      <c r="G70" s="66">
        <v>1.0</v>
      </c>
      <c r="H70" s="66">
        <f>D70*2 +G70</f>
        <v>3</v>
      </c>
      <c r="I70" s="13"/>
      <c r="J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</row>
  </sheetData>
  <mergeCells count="9">
    <mergeCell ref="D59:H60"/>
    <mergeCell ref="D67:H68"/>
    <mergeCell ref="D7:H8"/>
    <mergeCell ref="D15:H16"/>
    <mergeCell ref="D23:H24"/>
    <mergeCell ref="D30:H31"/>
    <mergeCell ref="D38:H39"/>
    <mergeCell ref="D45:H46"/>
    <mergeCell ref="D52:H5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2" max="2" width="26.0"/>
    <col customWidth="1" min="3" max="3" width="23.5"/>
    <col customWidth="1" min="5" max="5" width="27.13"/>
    <col customWidth="1" min="6" max="6" width="17.13"/>
    <col customWidth="1" min="7" max="7" width="18.63"/>
    <col customWidth="1" min="10" max="10" width="26.5"/>
    <col customWidth="1" min="11" max="11" width="25.25"/>
    <col customWidth="1" min="13" max="13" width="28.0"/>
    <col customWidth="1" min="14" max="14" width="27.75"/>
    <col customWidth="1" min="16" max="16" width="32.75"/>
    <col customWidth="1" min="17" max="17" width="28.13"/>
  </cols>
  <sheetData>
    <row r="3">
      <c r="B3" s="70" t="s">
        <v>105</v>
      </c>
      <c r="C3" s="5"/>
      <c r="E3" s="70" t="s">
        <v>107</v>
      </c>
      <c r="F3" s="4"/>
      <c r="G3" s="4"/>
      <c r="H3" s="5"/>
      <c r="J3" s="70" t="s">
        <v>108</v>
      </c>
      <c r="K3" s="5"/>
      <c r="M3" s="70" t="s">
        <v>109</v>
      </c>
      <c r="N3" s="5"/>
      <c r="P3" s="70" t="s">
        <v>111</v>
      </c>
      <c r="Q3" s="5"/>
    </row>
    <row r="4">
      <c r="B4" s="12" t="s">
        <v>113</v>
      </c>
      <c r="C4" s="12" t="s">
        <v>114</v>
      </c>
      <c r="E4" s="12" t="s">
        <v>113</v>
      </c>
      <c r="F4" s="12" t="s">
        <v>114</v>
      </c>
      <c r="G4" s="12" t="s">
        <v>115</v>
      </c>
      <c r="H4" s="12" t="s">
        <v>117</v>
      </c>
      <c r="J4" s="12" t="s">
        <v>113</v>
      </c>
      <c r="K4" s="12" t="s">
        <v>114</v>
      </c>
      <c r="M4" s="12" t="s">
        <v>113</v>
      </c>
      <c r="N4" s="12" t="s">
        <v>114</v>
      </c>
      <c r="P4" s="12" t="s">
        <v>113</v>
      </c>
      <c r="Q4" s="12" t="s">
        <v>114</v>
      </c>
    </row>
    <row r="5">
      <c r="B5" s="72" t="s">
        <v>118</v>
      </c>
      <c r="C5" s="72">
        <v>0.0</v>
      </c>
      <c r="E5" s="72" t="s">
        <v>118</v>
      </c>
      <c r="F5" s="72"/>
      <c r="G5" s="73"/>
      <c r="H5" s="74">
        <f t="shared" ref="H5:H17" si="1">F5*G5</f>
        <v>0</v>
      </c>
      <c r="J5" s="72" t="s">
        <v>118</v>
      </c>
      <c r="K5" s="72">
        <f t="shared" ref="K5:K15" si="2">K22*12</f>
        <v>0</v>
      </c>
      <c r="M5" s="72" t="s">
        <v>118</v>
      </c>
      <c r="N5" s="72">
        <v>8.0</v>
      </c>
      <c r="P5" s="72" t="s">
        <v>118</v>
      </c>
      <c r="Q5" s="72">
        <v>0.33</v>
      </c>
    </row>
    <row r="6">
      <c r="B6" s="72" t="s">
        <v>121</v>
      </c>
      <c r="C6" s="72">
        <v>0.0</v>
      </c>
      <c r="E6" s="72" t="s">
        <v>121</v>
      </c>
      <c r="F6" s="72"/>
      <c r="G6" s="73"/>
      <c r="H6" s="74">
        <f t="shared" si="1"/>
        <v>0</v>
      </c>
      <c r="J6" s="72" t="s">
        <v>121</v>
      </c>
      <c r="K6" s="72">
        <f t="shared" si="2"/>
        <v>0</v>
      </c>
      <c r="M6" s="72" t="s">
        <v>121</v>
      </c>
      <c r="N6" s="72">
        <v>12.0</v>
      </c>
      <c r="P6" s="72" t="s">
        <v>121</v>
      </c>
      <c r="Q6" s="72">
        <v>0.55</v>
      </c>
    </row>
    <row r="7">
      <c r="B7" s="72" t="s">
        <v>125</v>
      </c>
      <c r="C7" s="72">
        <v>0.0</v>
      </c>
      <c r="E7" s="72" t="s">
        <v>125</v>
      </c>
      <c r="F7" s="72"/>
      <c r="G7" s="73"/>
      <c r="H7" s="74">
        <f t="shared" si="1"/>
        <v>0</v>
      </c>
      <c r="J7" s="72" t="s">
        <v>125</v>
      </c>
      <c r="K7" s="72">
        <f t="shared" si="2"/>
        <v>0</v>
      </c>
      <c r="M7" s="72" t="s">
        <v>125</v>
      </c>
      <c r="N7" s="72">
        <v>8.0</v>
      </c>
      <c r="P7" s="72" t="s">
        <v>125</v>
      </c>
      <c r="Q7" s="72">
        <v>0.4</v>
      </c>
    </row>
    <row r="8">
      <c r="B8" s="72" t="s">
        <v>127</v>
      </c>
      <c r="C8" s="72">
        <v>0.0</v>
      </c>
      <c r="E8" s="72" t="s">
        <v>127</v>
      </c>
      <c r="F8" s="72"/>
      <c r="G8" s="73"/>
      <c r="H8" s="74">
        <f t="shared" si="1"/>
        <v>0</v>
      </c>
      <c r="J8" s="72" t="s">
        <v>127</v>
      </c>
      <c r="K8" s="72">
        <f t="shared" si="2"/>
        <v>0</v>
      </c>
      <c r="M8" s="72" t="s">
        <v>127</v>
      </c>
      <c r="N8" s="72">
        <v>800.0</v>
      </c>
      <c r="P8" s="72" t="s">
        <v>127</v>
      </c>
      <c r="Q8" s="72">
        <v>36.0</v>
      </c>
    </row>
    <row r="9">
      <c r="B9" s="72" t="s">
        <v>128</v>
      </c>
      <c r="C9" s="72">
        <v>0.0</v>
      </c>
      <c r="E9" s="72" t="s">
        <v>128</v>
      </c>
      <c r="F9" s="72"/>
      <c r="G9" s="73"/>
      <c r="H9" s="74">
        <f t="shared" si="1"/>
        <v>0</v>
      </c>
      <c r="J9" s="72" t="s">
        <v>128</v>
      </c>
      <c r="K9" s="72">
        <f t="shared" si="2"/>
        <v>0</v>
      </c>
      <c r="M9" s="72" t="s">
        <v>128</v>
      </c>
      <c r="N9" s="72">
        <v>120.0</v>
      </c>
      <c r="P9" s="72" t="s">
        <v>128</v>
      </c>
      <c r="Q9" s="72">
        <v>6.0</v>
      </c>
    </row>
    <row r="10">
      <c r="B10" s="72" t="s">
        <v>129</v>
      </c>
      <c r="C10" s="72">
        <v>0.0</v>
      </c>
      <c r="E10" s="72" t="s">
        <v>129</v>
      </c>
      <c r="F10" s="72"/>
      <c r="G10" s="73"/>
      <c r="H10" s="74">
        <f t="shared" si="1"/>
        <v>0</v>
      </c>
      <c r="J10" s="72" t="s">
        <v>129</v>
      </c>
      <c r="K10" s="72">
        <f t="shared" si="2"/>
        <v>0</v>
      </c>
      <c r="M10" s="72" t="s">
        <v>129</v>
      </c>
      <c r="N10" s="72">
        <v>15.0</v>
      </c>
      <c r="P10" s="72" t="s">
        <v>129</v>
      </c>
      <c r="Q10" s="72">
        <v>0.67</v>
      </c>
    </row>
    <row r="11">
      <c r="B11" s="72" t="s">
        <v>131</v>
      </c>
      <c r="C11" s="72">
        <v>0.0</v>
      </c>
      <c r="E11" s="72" t="s">
        <v>131</v>
      </c>
      <c r="F11" s="72"/>
      <c r="G11" s="73"/>
      <c r="H11" s="74">
        <f t="shared" si="1"/>
        <v>0</v>
      </c>
      <c r="J11" s="72" t="s">
        <v>131</v>
      </c>
      <c r="K11" s="72">
        <f t="shared" si="2"/>
        <v>0</v>
      </c>
      <c r="M11" s="72" t="s">
        <v>131</v>
      </c>
      <c r="N11" s="72">
        <v>27.0</v>
      </c>
      <c r="P11" s="72" t="s">
        <v>131</v>
      </c>
      <c r="Q11" s="72">
        <v>1.17</v>
      </c>
    </row>
    <row r="12">
      <c r="B12" s="72" t="s">
        <v>133</v>
      </c>
      <c r="C12" s="72">
        <v>0.0</v>
      </c>
      <c r="E12" s="72" t="s">
        <v>133</v>
      </c>
      <c r="F12" s="72"/>
      <c r="G12" s="73"/>
      <c r="H12" s="74">
        <f t="shared" si="1"/>
        <v>0</v>
      </c>
      <c r="J12" s="72" t="s">
        <v>133</v>
      </c>
      <c r="K12" s="72">
        <f t="shared" si="2"/>
        <v>0</v>
      </c>
      <c r="M12" s="72" t="s">
        <v>133</v>
      </c>
      <c r="N12" s="72">
        <v>1.0</v>
      </c>
      <c r="P12" s="72" t="s">
        <v>133</v>
      </c>
      <c r="Q12" s="72">
        <v>0.02</v>
      </c>
    </row>
    <row r="13">
      <c r="B13" s="72" t="s">
        <v>135</v>
      </c>
      <c r="C13" s="72">
        <v>0.0</v>
      </c>
      <c r="E13" s="72" t="s">
        <v>135</v>
      </c>
      <c r="F13" s="72"/>
      <c r="G13" s="73"/>
      <c r="H13" s="74">
        <f t="shared" si="1"/>
        <v>0</v>
      </c>
      <c r="J13" s="72" t="s">
        <v>135</v>
      </c>
      <c r="K13" s="72">
        <f t="shared" si="2"/>
        <v>0</v>
      </c>
      <c r="M13" s="72" t="s">
        <v>135</v>
      </c>
      <c r="N13" s="72">
        <v>9.0</v>
      </c>
      <c r="P13" s="72" t="s">
        <v>135</v>
      </c>
      <c r="Q13" s="72">
        <v>0.4</v>
      </c>
    </row>
    <row r="14">
      <c r="B14" s="72" t="s">
        <v>137</v>
      </c>
      <c r="C14" s="72">
        <v>0.0</v>
      </c>
      <c r="E14" s="72" t="s">
        <v>137</v>
      </c>
      <c r="F14" s="72"/>
      <c r="G14" s="73"/>
      <c r="H14" s="74">
        <f t="shared" si="1"/>
        <v>0</v>
      </c>
      <c r="J14" s="72" t="s">
        <v>137</v>
      </c>
      <c r="K14" s="72">
        <f t="shared" si="2"/>
        <v>0</v>
      </c>
      <c r="M14" s="72" t="s">
        <v>137</v>
      </c>
      <c r="N14" s="72">
        <v>3.0</v>
      </c>
      <c r="P14" s="72" t="s">
        <v>137</v>
      </c>
      <c r="Q14" s="72">
        <v>0.4</v>
      </c>
    </row>
    <row r="15">
      <c r="B15" s="72" t="s">
        <v>139</v>
      </c>
      <c r="C15" s="72">
        <v>0.0</v>
      </c>
      <c r="E15" s="72" t="s">
        <v>139</v>
      </c>
      <c r="F15" s="72"/>
      <c r="G15" s="73"/>
      <c r="H15" s="74">
        <f t="shared" si="1"/>
        <v>0</v>
      </c>
      <c r="J15" s="72" t="s">
        <v>139</v>
      </c>
      <c r="K15" s="72">
        <f t="shared" si="2"/>
        <v>0</v>
      </c>
      <c r="M15" s="72" t="s">
        <v>139</v>
      </c>
      <c r="N15" s="72">
        <v>700.0</v>
      </c>
      <c r="P15" s="72" t="s">
        <v>139</v>
      </c>
      <c r="Q15" s="72">
        <v>24.0</v>
      </c>
    </row>
    <row r="16">
      <c r="B16" s="72" t="s">
        <v>141</v>
      </c>
      <c r="C16" s="72">
        <v>0.0</v>
      </c>
      <c r="E16" s="72" t="s">
        <v>141</v>
      </c>
      <c r="F16" s="75"/>
      <c r="G16" s="75"/>
      <c r="H16" s="74">
        <f t="shared" si="1"/>
        <v>0</v>
      </c>
      <c r="J16" s="72" t="s">
        <v>141</v>
      </c>
      <c r="K16" s="72" t="s">
        <v>144</v>
      </c>
      <c r="M16" s="72" t="s">
        <v>141</v>
      </c>
      <c r="N16" s="72" t="s">
        <v>145</v>
      </c>
      <c r="P16" s="72" t="s">
        <v>141</v>
      </c>
      <c r="Q16" s="72" t="s">
        <v>146</v>
      </c>
    </row>
    <row r="17">
      <c r="B17" s="72" t="s">
        <v>147</v>
      </c>
      <c r="C17" s="72">
        <v>0.0</v>
      </c>
      <c r="E17" s="72" t="s">
        <v>147</v>
      </c>
      <c r="F17" s="75"/>
      <c r="G17" s="75"/>
      <c r="H17" s="74">
        <f t="shared" si="1"/>
        <v>0</v>
      </c>
      <c r="J17" s="72" t="s">
        <v>147</v>
      </c>
      <c r="K17" s="72">
        <f>K34*12</f>
        <v>0</v>
      </c>
      <c r="M17" s="72" t="s">
        <v>147</v>
      </c>
      <c r="N17" s="72">
        <v>700.0</v>
      </c>
      <c r="P17" s="72" t="s">
        <v>147</v>
      </c>
      <c r="Q17" s="72">
        <v>24.0</v>
      </c>
    </row>
    <row r="18">
      <c r="B18" s="27"/>
      <c r="C18" s="27"/>
    </row>
    <row r="20">
      <c r="B20" s="27"/>
      <c r="J20" s="27"/>
    </row>
    <row r="21">
      <c r="B21" s="27"/>
      <c r="C21" s="27"/>
      <c r="J21" s="27"/>
      <c r="K21" s="27"/>
    </row>
    <row r="22">
      <c r="B22" s="27"/>
      <c r="C22" s="27"/>
      <c r="J22" s="27"/>
      <c r="K22" s="27"/>
    </row>
    <row r="23">
      <c r="B23" s="27"/>
      <c r="C23" s="27"/>
      <c r="J23" s="27"/>
      <c r="K23" s="27"/>
    </row>
    <row r="24">
      <c r="B24" s="27"/>
      <c r="C24" s="27"/>
      <c r="J24" s="27"/>
      <c r="K24" s="27"/>
    </row>
    <row r="25">
      <c r="B25" s="27"/>
      <c r="C25" s="27"/>
      <c r="J25" s="27"/>
      <c r="K25" s="27"/>
    </row>
    <row r="26">
      <c r="B26" s="27"/>
      <c r="C26" s="27"/>
      <c r="J26" s="27"/>
      <c r="K26" s="27"/>
    </row>
    <row r="27">
      <c r="B27" s="27"/>
      <c r="C27" s="27"/>
      <c r="J27" s="27"/>
      <c r="K27" s="27"/>
    </row>
    <row r="28">
      <c r="B28" s="27"/>
      <c r="C28" s="27"/>
      <c r="J28" s="27"/>
      <c r="K28" s="27"/>
    </row>
    <row r="29">
      <c r="B29" s="27"/>
      <c r="C29" s="27"/>
      <c r="J29" s="27"/>
      <c r="K29" s="27"/>
    </row>
    <row r="30">
      <c r="B30" s="27"/>
      <c r="C30" s="27"/>
      <c r="J30" s="27"/>
      <c r="K30" s="27"/>
    </row>
    <row r="31">
      <c r="B31" s="27"/>
      <c r="C31" s="27"/>
      <c r="J31" s="27"/>
      <c r="K31" s="27"/>
    </row>
    <row r="32">
      <c r="B32" s="27"/>
      <c r="C32" s="27"/>
      <c r="J32" s="27"/>
      <c r="K32" s="27"/>
    </row>
    <row r="33">
      <c r="B33" s="27"/>
      <c r="C33" s="27"/>
      <c r="J33" s="27"/>
      <c r="K33" s="27"/>
    </row>
    <row r="34">
      <c r="B34" s="27"/>
      <c r="C34" s="27"/>
      <c r="J34" s="27"/>
      <c r="K34" s="27"/>
    </row>
    <row r="35">
      <c r="J35" s="24"/>
      <c r="K35" s="24"/>
    </row>
  </sheetData>
  <mergeCells count="7">
    <mergeCell ref="B3:C3"/>
    <mergeCell ref="E3:H3"/>
    <mergeCell ref="J3:K3"/>
    <mergeCell ref="M3:N3"/>
    <mergeCell ref="P3:Q3"/>
    <mergeCell ref="B20:C20"/>
    <mergeCell ref="J20:K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.5"/>
    <col customWidth="1" min="3" max="3" width="23.25"/>
    <col customWidth="1" min="4" max="4" width="21.38"/>
    <col customWidth="1" min="5" max="5" width="17.0"/>
    <col customWidth="1" min="7" max="7" width="24.38"/>
    <col customWidth="1" min="9" max="9" width="21.63"/>
    <col customWidth="1" min="11" max="11" width="15.25"/>
  </cols>
  <sheetData>
    <row r="4">
      <c r="C4" s="70" t="s">
        <v>207</v>
      </c>
      <c r="D4" s="4"/>
      <c r="E4" s="5"/>
      <c r="G4" s="70" t="s">
        <v>209</v>
      </c>
      <c r="H4" s="4"/>
      <c r="I4" s="5"/>
      <c r="K4" s="70" t="s">
        <v>211</v>
      </c>
      <c r="L4" s="4"/>
      <c r="M4" s="5"/>
      <c r="O4" s="70" t="s">
        <v>212</v>
      </c>
      <c r="P4" s="4"/>
      <c r="Q4" s="5"/>
      <c r="S4" s="70" t="s">
        <v>213</v>
      </c>
      <c r="T4" s="4"/>
      <c r="U4" s="5"/>
    </row>
    <row r="5">
      <c r="C5" s="76" t="s">
        <v>215</v>
      </c>
      <c r="D5" s="5"/>
      <c r="E5" s="77" t="s">
        <v>219</v>
      </c>
      <c r="G5" s="76" t="s">
        <v>215</v>
      </c>
      <c r="H5" s="5"/>
      <c r="I5" s="77" t="s">
        <v>219</v>
      </c>
      <c r="K5" s="76" t="s">
        <v>215</v>
      </c>
      <c r="L5" s="5"/>
      <c r="M5" s="78" t="s">
        <v>219</v>
      </c>
      <c r="O5" s="76" t="s">
        <v>215</v>
      </c>
      <c r="P5" s="5"/>
      <c r="Q5" s="77" t="s">
        <v>219</v>
      </c>
      <c r="S5" s="76" t="s">
        <v>215</v>
      </c>
      <c r="T5" s="5"/>
      <c r="U5" s="77" t="s">
        <v>224</v>
      </c>
    </row>
    <row r="6">
      <c r="C6" s="76" t="s">
        <v>226</v>
      </c>
      <c r="D6" s="5"/>
      <c r="E6" s="77" t="s">
        <v>229</v>
      </c>
      <c r="G6" s="76" t="s">
        <v>226</v>
      </c>
      <c r="H6" s="5"/>
      <c r="I6" s="77" t="s">
        <v>229</v>
      </c>
      <c r="K6" s="76" t="s">
        <v>226</v>
      </c>
      <c r="L6" s="5"/>
      <c r="M6" s="78" t="s">
        <v>229</v>
      </c>
      <c r="O6" s="76" t="s">
        <v>226</v>
      </c>
      <c r="P6" s="5"/>
      <c r="Q6" s="77" t="s">
        <v>229</v>
      </c>
      <c r="S6" s="76" t="s">
        <v>226</v>
      </c>
      <c r="T6" s="5"/>
      <c r="U6" s="77" t="s">
        <v>231</v>
      </c>
    </row>
    <row r="7">
      <c r="C7" s="76" t="s">
        <v>232</v>
      </c>
      <c r="D7" s="5"/>
      <c r="E7" s="77" t="s">
        <v>233</v>
      </c>
      <c r="G7" s="76" t="s">
        <v>232</v>
      </c>
      <c r="H7" s="5"/>
      <c r="I7" s="77" t="s">
        <v>233</v>
      </c>
      <c r="K7" s="76" t="s">
        <v>232</v>
      </c>
      <c r="L7" s="5"/>
      <c r="M7" s="78" t="s">
        <v>233</v>
      </c>
      <c r="O7" s="76" t="s">
        <v>232</v>
      </c>
      <c r="P7" s="5"/>
      <c r="Q7" s="77" t="s">
        <v>233</v>
      </c>
      <c r="S7" s="76" t="s">
        <v>232</v>
      </c>
      <c r="T7" s="5"/>
      <c r="U7" s="77" t="s">
        <v>236</v>
      </c>
    </row>
    <row r="8">
      <c r="C8" s="76" t="s">
        <v>237</v>
      </c>
      <c r="D8" s="5"/>
      <c r="E8" s="77" t="s">
        <v>238</v>
      </c>
      <c r="G8" s="76" t="s">
        <v>237</v>
      </c>
      <c r="H8" s="5"/>
      <c r="I8" s="77" t="s">
        <v>238</v>
      </c>
      <c r="K8" s="76" t="s">
        <v>237</v>
      </c>
      <c r="L8" s="5"/>
      <c r="M8" s="78" t="s">
        <v>238</v>
      </c>
      <c r="O8" s="76" t="s">
        <v>237</v>
      </c>
      <c r="P8" s="5"/>
      <c r="Q8" s="77" t="s">
        <v>238</v>
      </c>
      <c r="S8" s="76" t="s">
        <v>237</v>
      </c>
      <c r="T8" s="5"/>
      <c r="U8" s="77" t="s">
        <v>241</v>
      </c>
    </row>
    <row r="9">
      <c r="C9" s="76" t="s">
        <v>242</v>
      </c>
      <c r="D9" s="5"/>
      <c r="E9" s="77" t="s">
        <v>243</v>
      </c>
      <c r="G9" s="76" t="s">
        <v>242</v>
      </c>
      <c r="H9" s="5"/>
      <c r="I9" s="77" t="s">
        <v>243</v>
      </c>
      <c r="K9" s="76" t="s">
        <v>242</v>
      </c>
      <c r="L9" s="5"/>
      <c r="M9" s="78" t="s">
        <v>243</v>
      </c>
      <c r="O9" s="76" t="s">
        <v>242</v>
      </c>
      <c r="P9" s="5"/>
      <c r="Q9" s="77" t="s">
        <v>243</v>
      </c>
      <c r="S9" s="76" t="s">
        <v>242</v>
      </c>
      <c r="T9" s="5"/>
      <c r="U9" s="77" t="s">
        <v>245</v>
      </c>
    </row>
    <row r="10">
      <c r="C10" s="76" t="s">
        <v>246</v>
      </c>
      <c r="D10" s="5"/>
      <c r="E10" s="79" t="s">
        <v>229</v>
      </c>
      <c r="G10" s="76" t="s">
        <v>248</v>
      </c>
      <c r="H10" s="5"/>
      <c r="I10" s="79" t="s">
        <v>250</v>
      </c>
      <c r="K10" s="76" t="s">
        <v>246</v>
      </c>
      <c r="L10" s="5"/>
      <c r="M10" s="78" t="s">
        <v>229</v>
      </c>
      <c r="O10" s="76" t="s">
        <v>248</v>
      </c>
      <c r="P10" s="5"/>
      <c r="Q10" s="79" t="s">
        <v>250</v>
      </c>
      <c r="S10" s="76" t="s">
        <v>248</v>
      </c>
      <c r="T10" s="5"/>
      <c r="U10" s="79" t="s">
        <v>250</v>
      </c>
    </row>
    <row r="11">
      <c r="C11" s="76" t="s">
        <v>253</v>
      </c>
      <c r="D11" s="5"/>
      <c r="E11" s="79" t="s">
        <v>254</v>
      </c>
      <c r="G11" s="76" t="s">
        <v>255</v>
      </c>
      <c r="H11" s="5"/>
      <c r="I11" s="80">
        <v>0.08</v>
      </c>
      <c r="K11" s="76" t="s">
        <v>253</v>
      </c>
      <c r="L11" s="5"/>
      <c r="M11" s="78" t="s">
        <v>254</v>
      </c>
      <c r="O11" s="76" t="s">
        <v>255</v>
      </c>
      <c r="P11" s="5"/>
      <c r="Q11" s="80">
        <v>0.71</v>
      </c>
      <c r="S11" s="76" t="s">
        <v>246</v>
      </c>
      <c r="T11" s="5"/>
      <c r="U11" s="78" t="s">
        <v>229</v>
      </c>
    </row>
    <row r="12">
      <c r="C12" s="76" t="s">
        <v>258</v>
      </c>
      <c r="D12" s="5"/>
      <c r="E12" s="79" t="s">
        <v>259</v>
      </c>
      <c r="G12" s="76" t="s">
        <v>260</v>
      </c>
      <c r="H12" s="5"/>
      <c r="I12" s="79" t="s">
        <v>262</v>
      </c>
      <c r="K12" s="76" t="s">
        <v>258</v>
      </c>
      <c r="L12" s="5"/>
      <c r="M12" s="78" t="s">
        <v>259</v>
      </c>
      <c r="O12" s="76" t="s">
        <v>260</v>
      </c>
      <c r="P12" s="5"/>
      <c r="Q12" s="80">
        <v>2.95</v>
      </c>
      <c r="S12" s="76" t="s">
        <v>253</v>
      </c>
      <c r="T12" s="5"/>
      <c r="U12" s="78" t="s">
        <v>254</v>
      </c>
    </row>
    <row r="13">
      <c r="C13" s="76" t="s">
        <v>266</v>
      </c>
      <c r="D13" s="5"/>
      <c r="E13" s="79" t="s">
        <v>267</v>
      </c>
      <c r="G13" s="76" t="s">
        <v>269</v>
      </c>
      <c r="H13" s="5"/>
      <c r="I13" s="83">
        <v>0.6907</v>
      </c>
      <c r="K13" s="76" t="s">
        <v>266</v>
      </c>
      <c r="L13" s="5"/>
      <c r="M13" s="78" t="s">
        <v>267</v>
      </c>
      <c r="O13" s="76" t="s">
        <v>269</v>
      </c>
      <c r="P13" s="5"/>
      <c r="Q13" s="83">
        <v>0.6313</v>
      </c>
      <c r="S13" s="76" t="s">
        <v>258</v>
      </c>
      <c r="T13" s="5"/>
      <c r="U13" s="78" t="s">
        <v>259</v>
      </c>
    </row>
    <row r="14">
      <c r="C14" s="76" t="s">
        <v>255</v>
      </c>
      <c r="D14" s="5"/>
      <c r="E14" s="80">
        <v>0.08</v>
      </c>
      <c r="G14" s="76" t="s">
        <v>272</v>
      </c>
      <c r="H14" s="5"/>
      <c r="I14" s="79" t="s">
        <v>274</v>
      </c>
      <c r="K14" s="76" t="s">
        <v>255</v>
      </c>
      <c r="L14" s="5"/>
      <c r="M14" s="80">
        <v>0.71</v>
      </c>
      <c r="O14" s="76" t="s">
        <v>272</v>
      </c>
      <c r="P14" s="5"/>
      <c r="Q14" s="80">
        <v>8.0</v>
      </c>
      <c r="S14" s="76" t="s">
        <v>266</v>
      </c>
      <c r="T14" s="5"/>
      <c r="U14" s="78" t="s">
        <v>267</v>
      </c>
    </row>
    <row r="15">
      <c r="C15" s="76" t="s">
        <v>260</v>
      </c>
      <c r="D15" s="5"/>
      <c r="E15" s="79" t="s">
        <v>276</v>
      </c>
      <c r="G15" s="84"/>
      <c r="H15" s="84"/>
      <c r="I15" s="85"/>
      <c r="K15" s="76" t="s">
        <v>260</v>
      </c>
      <c r="L15" s="5"/>
      <c r="M15" s="80">
        <v>2.08</v>
      </c>
      <c r="S15" s="76" t="s">
        <v>255</v>
      </c>
      <c r="T15" s="5"/>
      <c r="U15" s="80">
        <v>0.16</v>
      </c>
    </row>
    <row r="16">
      <c r="C16" s="76" t="s">
        <v>269</v>
      </c>
      <c r="D16" s="5"/>
      <c r="E16" s="83">
        <v>0.7769</v>
      </c>
      <c r="K16" s="76" t="s">
        <v>269</v>
      </c>
      <c r="L16" s="5"/>
      <c r="M16" s="83">
        <v>0.74</v>
      </c>
      <c r="S16" s="76" t="s">
        <v>260</v>
      </c>
      <c r="T16" s="5"/>
      <c r="U16" s="80">
        <v>3.77</v>
      </c>
    </row>
    <row r="17">
      <c r="C17" s="76" t="s">
        <v>272</v>
      </c>
      <c r="D17" s="5"/>
      <c r="E17" s="79" t="s">
        <v>282</v>
      </c>
      <c r="K17" s="76" t="s">
        <v>272</v>
      </c>
      <c r="L17" s="5"/>
      <c r="M17" s="80">
        <v>8.0</v>
      </c>
      <c r="S17" s="76" t="s">
        <v>269</v>
      </c>
      <c r="T17" s="5"/>
      <c r="U17" s="83">
        <v>0.6858</v>
      </c>
    </row>
    <row r="18">
      <c r="S18" s="76" t="s">
        <v>272</v>
      </c>
      <c r="T18" s="5"/>
      <c r="U18" s="80">
        <v>12.0</v>
      </c>
    </row>
  </sheetData>
  <mergeCells count="65">
    <mergeCell ref="C15:D15"/>
    <mergeCell ref="C16:D16"/>
    <mergeCell ref="C17:D17"/>
    <mergeCell ref="C8:D8"/>
    <mergeCell ref="C9:D9"/>
    <mergeCell ref="C10:D10"/>
    <mergeCell ref="C11:D11"/>
    <mergeCell ref="C12:D12"/>
    <mergeCell ref="C13:D13"/>
    <mergeCell ref="C14:D14"/>
    <mergeCell ref="S16:T16"/>
    <mergeCell ref="S17:T17"/>
    <mergeCell ref="S18:T18"/>
    <mergeCell ref="S9:T9"/>
    <mergeCell ref="S10:T10"/>
    <mergeCell ref="S11:T11"/>
    <mergeCell ref="S12:T12"/>
    <mergeCell ref="S13:T13"/>
    <mergeCell ref="S14:T14"/>
    <mergeCell ref="S15:T15"/>
    <mergeCell ref="C4:E4"/>
    <mergeCell ref="G4:I4"/>
    <mergeCell ref="K4:M4"/>
    <mergeCell ref="S4:U4"/>
    <mergeCell ref="G5:H5"/>
    <mergeCell ref="K5:L5"/>
    <mergeCell ref="S5:T5"/>
    <mergeCell ref="G7:H7"/>
    <mergeCell ref="G8:H8"/>
    <mergeCell ref="G9:H9"/>
    <mergeCell ref="G10:H10"/>
    <mergeCell ref="G11:H11"/>
    <mergeCell ref="G12:H12"/>
    <mergeCell ref="G13:H13"/>
    <mergeCell ref="G14:H14"/>
    <mergeCell ref="O8:P8"/>
    <mergeCell ref="O9:P9"/>
    <mergeCell ref="O10:P10"/>
    <mergeCell ref="O11:P11"/>
    <mergeCell ref="O12:P12"/>
    <mergeCell ref="O13:P13"/>
    <mergeCell ref="O14:P14"/>
    <mergeCell ref="C5:D5"/>
    <mergeCell ref="C6:D6"/>
    <mergeCell ref="G6:H6"/>
    <mergeCell ref="K6:L6"/>
    <mergeCell ref="C7:D7"/>
    <mergeCell ref="K7:L7"/>
    <mergeCell ref="K8:L8"/>
    <mergeCell ref="O4:Q4"/>
    <mergeCell ref="O5:P5"/>
    <mergeCell ref="O6:P6"/>
    <mergeCell ref="S6:T6"/>
    <mergeCell ref="O7:P7"/>
    <mergeCell ref="S7:T7"/>
    <mergeCell ref="S8:T8"/>
    <mergeCell ref="K16:L16"/>
    <mergeCell ref="K17:L17"/>
    <mergeCell ref="K9:L9"/>
    <mergeCell ref="K10:L10"/>
    <mergeCell ref="K11:L11"/>
    <mergeCell ref="K12:L12"/>
    <mergeCell ref="K13:L13"/>
    <mergeCell ref="K14:L14"/>
    <mergeCell ref="K15:L1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4.88"/>
    <col customWidth="1" min="5" max="5" width="15.75"/>
    <col customWidth="1" min="6" max="6" width="16.5"/>
    <col customWidth="1" min="9" max="9" width="16.63"/>
    <col customWidth="1" min="10" max="10" width="15.38"/>
    <col customWidth="1" min="13" max="13" width="17.5"/>
    <col customWidth="1" min="14" max="14" width="14.5"/>
    <col customWidth="1" min="15" max="15" width="19.88"/>
    <col customWidth="1" min="17" max="17" width="17.38"/>
    <col customWidth="1" min="18" max="18" width="15.0"/>
    <col customWidth="1" min="19" max="19" width="21.13"/>
  </cols>
  <sheetData>
    <row r="1" ht="33.7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</row>
    <row r="2">
      <c r="F2" s="88"/>
    </row>
    <row r="7" ht="21.75" customHeight="1">
      <c r="A7" s="89" t="s">
        <v>295</v>
      </c>
      <c r="B7" s="4"/>
      <c r="C7" s="5"/>
      <c r="E7" s="89" t="s">
        <v>296</v>
      </c>
      <c r="F7" s="4"/>
      <c r="G7" s="5"/>
      <c r="I7" s="89" t="s">
        <v>299</v>
      </c>
      <c r="J7" s="4"/>
      <c r="K7" s="5"/>
      <c r="M7" s="89" t="s">
        <v>301</v>
      </c>
      <c r="N7" s="4"/>
      <c r="O7" s="5"/>
      <c r="Q7" s="89" t="s">
        <v>303</v>
      </c>
      <c r="R7" s="4"/>
      <c r="S7" s="5"/>
    </row>
    <row r="8">
      <c r="A8" s="90" t="s">
        <v>304</v>
      </c>
      <c r="B8" s="90" t="s">
        <v>305</v>
      </c>
      <c r="C8" s="90" t="s">
        <v>306</v>
      </c>
      <c r="E8" s="89" t="s">
        <v>304</v>
      </c>
      <c r="F8" s="91" t="s">
        <v>305</v>
      </c>
      <c r="G8" s="92" t="s">
        <v>306</v>
      </c>
      <c r="I8" s="89" t="s">
        <v>304</v>
      </c>
      <c r="J8" s="91" t="s">
        <v>305</v>
      </c>
      <c r="K8" s="92" t="s">
        <v>306</v>
      </c>
      <c r="M8" s="89" t="s">
        <v>304</v>
      </c>
      <c r="N8" s="91" t="s">
        <v>305</v>
      </c>
      <c r="O8" s="92" t="s">
        <v>306</v>
      </c>
      <c r="Q8" s="89" t="s">
        <v>304</v>
      </c>
      <c r="R8" s="91" t="s">
        <v>305</v>
      </c>
      <c r="S8" s="92" t="s">
        <v>306</v>
      </c>
    </row>
    <row r="9">
      <c r="A9" s="93">
        <v>3.77</v>
      </c>
      <c r="B9" s="32">
        <v>12.0</v>
      </c>
      <c r="C9" s="94">
        <f>B9/A9</f>
        <v>3.183023873</v>
      </c>
      <c r="E9" s="93">
        <v>1.45</v>
      </c>
      <c r="F9" s="32">
        <v>6.5</v>
      </c>
      <c r="G9" s="94">
        <f>F9/E9</f>
        <v>4.482758621</v>
      </c>
      <c r="I9" s="93">
        <v>2.32</v>
      </c>
      <c r="J9" s="32">
        <v>7.5</v>
      </c>
      <c r="K9" s="94">
        <f>J9/I9</f>
        <v>3.232758621</v>
      </c>
      <c r="M9" s="93">
        <v>2.95</v>
      </c>
      <c r="N9" s="32">
        <v>8.0</v>
      </c>
      <c r="O9" s="94">
        <f>N9/M9</f>
        <v>2.711864407</v>
      </c>
      <c r="Q9" s="93">
        <v>2.08</v>
      </c>
      <c r="R9" s="32">
        <v>8.0</v>
      </c>
      <c r="S9" s="94">
        <f>R9/Q9</f>
        <v>3.846153846</v>
      </c>
    </row>
    <row r="12" ht="27.0" customHeight="1">
      <c r="A12" s="89" t="s">
        <v>318</v>
      </c>
      <c r="B12" s="4"/>
      <c r="C12" s="5"/>
      <c r="E12" s="89" t="s">
        <v>321</v>
      </c>
      <c r="F12" s="4"/>
      <c r="G12" s="5"/>
      <c r="I12" s="89" t="s">
        <v>323</v>
      </c>
      <c r="J12" s="4"/>
      <c r="K12" s="5"/>
      <c r="M12" s="89" t="s">
        <v>325</v>
      </c>
      <c r="N12" s="4"/>
      <c r="O12" s="5"/>
      <c r="Q12" s="89" t="s">
        <v>327</v>
      </c>
      <c r="R12" s="4"/>
      <c r="S12" s="5"/>
    </row>
    <row r="13">
      <c r="A13" s="90" t="s">
        <v>305</v>
      </c>
      <c r="B13" s="90" t="s">
        <v>328</v>
      </c>
      <c r="C13" s="90" t="s">
        <v>329</v>
      </c>
      <c r="E13" s="90" t="s">
        <v>305</v>
      </c>
      <c r="F13" s="90" t="s">
        <v>328</v>
      </c>
      <c r="G13" s="90" t="s">
        <v>329</v>
      </c>
      <c r="I13" s="90" t="s">
        <v>305</v>
      </c>
      <c r="J13" s="90" t="s">
        <v>328</v>
      </c>
      <c r="K13" s="90" t="s">
        <v>329</v>
      </c>
      <c r="M13" s="90" t="s">
        <v>305</v>
      </c>
      <c r="N13" s="90" t="s">
        <v>328</v>
      </c>
      <c r="O13" s="90" t="s">
        <v>329</v>
      </c>
      <c r="Q13" s="90" t="s">
        <v>305</v>
      </c>
      <c r="R13" s="90" t="s">
        <v>328</v>
      </c>
      <c r="S13" s="90" t="s">
        <v>329</v>
      </c>
    </row>
    <row r="14">
      <c r="A14" s="95">
        <v>12.0</v>
      </c>
      <c r="B14" s="95">
        <v>3.77</v>
      </c>
      <c r="C14" s="96">
        <f>A14-B14</f>
        <v>8.23</v>
      </c>
      <c r="E14" s="95">
        <v>6.5</v>
      </c>
      <c r="F14" s="95">
        <v>1.45</v>
      </c>
      <c r="G14" s="96">
        <f>E14-F14</f>
        <v>5.05</v>
      </c>
      <c r="I14" s="95">
        <v>7.5</v>
      </c>
      <c r="J14" s="95">
        <v>2.32</v>
      </c>
      <c r="K14" s="96">
        <f>I14-J14</f>
        <v>5.18</v>
      </c>
      <c r="M14" s="95">
        <v>8.0</v>
      </c>
      <c r="N14" s="95">
        <v>2.95</v>
      </c>
      <c r="O14" s="96">
        <f>M14-N14</f>
        <v>5.05</v>
      </c>
      <c r="Q14" s="95">
        <v>8.0</v>
      </c>
      <c r="R14" s="95">
        <v>2.08</v>
      </c>
      <c r="S14" s="96">
        <f>Q14-R14</f>
        <v>5.92</v>
      </c>
    </row>
    <row r="17">
      <c r="A17" s="97" t="s">
        <v>340</v>
      </c>
    </row>
    <row r="18">
      <c r="A18" s="90" t="s">
        <v>341</v>
      </c>
      <c r="B18" s="90" t="s">
        <v>305</v>
      </c>
      <c r="C18" s="90" t="s">
        <v>328</v>
      </c>
      <c r="D18" s="90" t="s">
        <v>114</v>
      </c>
      <c r="E18" s="90" t="s">
        <v>342</v>
      </c>
      <c r="F18" s="90" t="s">
        <v>343</v>
      </c>
      <c r="G18" s="90" t="s">
        <v>344</v>
      </c>
    </row>
    <row r="19">
      <c r="A19" s="98" t="s">
        <v>346</v>
      </c>
      <c r="B19" s="99">
        <v>12.0</v>
      </c>
      <c r="C19" s="100">
        <v>3.77</v>
      </c>
      <c r="D19" s="100">
        <v>202.0</v>
      </c>
      <c r="E19" s="101">
        <f t="shared" ref="E19:E22" si="1">B19-C19</f>
        <v>8.23</v>
      </c>
      <c r="F19" s="101">
        <f t="shared" ref="F19:F22" si="2">D19*E19</f>
        <v>1662.46</v>
      </c>
      <c r="G19" s="102">
        <f t="shared" ref="G19:G22" si="3">F19/(B19*D19)</f>
        <v>0.6858333333</v>
      </c>
    </row>
    <row r="20">
      <c r="A20" s="98" t="s">
        <v>268</v>
      </c>
      <c r="B20" s="99">
        <v>6.5</v>
      </c>
      <c r="C20" s="100">
        <v>1.45</v>
      </c>
      <c r="D20" s="100">
        <v>460.0</v>
      </c>
      <c r="E20" s="101">
        <f t="shared" si="1"/>
        <v>5.05</v>
      </c>
      <c r="F20" s="101">
        <f t="shared" si="2"/>
        <v>2323</v>
      </c>
      <c r="G20" s="102">
        <f t="shared" si="3"/>
        <v>0.7769230769</v>
      </c>
    </row>
    <row r="21">
      <c r="A21" s="98" t="s">
        <v>248</v>
      </c>
      <c r="B21" s="99">
        <v>7.5</v>
      </c>
      <c r="C21" s="100">
        <v>2.32</v>
      </c>
      <c r="D21" s="103">
        <v>52.0</v>
      </c>
      <c r="E21" s="101">
        <f t="shared" si="1"/>
        <v>5.18</v>
      </c>
      <c r="F21" s="101">
        <f t="shared" si="2"/>
        <v>269.36</v>
      </c>
      <c r="G21" s="102">
        <f t="shared" si="3"/>
        <v>0.6906666667</v>
      </c>
    </row>
    <row r="22">
      <c r="A22" s="98" t="s">
        <v>357</v>
      </c>
      <c r="B22" s="99">
        <v>8.0</v>
      </c>
      <c r="C22" s="100">
        <v>2.95</v>
      </c>
      <c r="D22" s="103">
        <v>163.0</v>
      </c>
      <c r="E22" s="101">
        <f t="shared" si="1"/>
        <v>5.05</v>
      </c>
      <c r="F22" s="101">
        <f t="shared" si="2"/>
        <v>823.15</v>
      </c>
      <c r="G22" s="102">
        <f t="shared" si="3"/>
        <v>0.63125</v>
      </c>
    </row>
    <row r="23">
      <c r="A23" s="87"/>
      <c r="B23" s="104"/>
      <c r="C23" s="85"/>
      <c r="D23" s="105"/>
      <c r="E23" s="105"/>
      <c r="F23" s="105"/>
      <c r="G23" s="105"/>
    </row>
    <row r="24">
      <c r="A24" s="89" t="s">
        <v>360</v>
      </c>
      <c r="B24" s="5"/>
      <c r="C24" s="106"/>
      <c r="D24" s="87"/>
    </row>
    <row r="25" ht="22.5" customHeight="1">
      <c r="A25" s="107">
        <v>101.5176</v>
      </c>
      <c r="B25" s="5"/>
      <c r="C25" s="88"/>
      <c r="D25" s="24"/>
    </row>
  </sheetData>
  <mergeCells count="15">
    <mergeCell ref="I12:K12"/>
    <mergeCell ref="M12:O12"/>
    <mergeCell ref="A17:G17"/>
    <mergeCell ref="A24:B24"/>
    <mergeCell ref="D24:F24"/>
    <mergeCell ref="A25:B25"/>
    <mergeCell ref="D25:F25"/>
    <mergeCell ref="A7:C7"/>
    <mergeCell ref="E7:G7"/>
    <mergeCell ref="I7:K7"/>
    <mergeCell ref="M7:O7"/>
    <mergeCell ref="Q7:S7"/>
    <mergeCell ref="A12:C12"/>
    <mergeCell ref="E12:G12"/>
    <mergeCell ref="Q12:S12"/>
  </mergeCells>
  <drawing r:id="rId1"/>
</worksheet>
</file>